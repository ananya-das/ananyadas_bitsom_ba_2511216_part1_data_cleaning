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e40002686\Documents\ananyadas_bitsom_ba_2511216_part1_data_cleaning\outputs\"/>
    </mc:Choice>
  </mc:AlternateContent>
  <xr:revisionPtr revIDLastSave="0" documentId="13_ncr:1_{1C027C54-C397-440D-8EB3-CF41D0A46E79}" xr6:coauthVersionLast="47" xr6:coauthVersionMax="47" xr10:uidLastSave="{00000000-0000-0000-0000-000000000000}"/>
  <bookViews>
    <workbookView xWindow="-108" yWindow="-108" windowWidth="23256" windowHeight="12456" firstSheet="4" activeTab="6" xr2:uid="{00000000-000D-0000-FFFF-FFFF00000000}"/>
  </bookViews>
  <sheets>
    <sheet name="Duplicate Summary" sheetId="1" r:id="rId1"/>
    <sheet name="Missing value summary" sheetId="2" r:id="rId2"/>
    <sheet name="Invalid discount summary" sheetId="3" r:id="rId3"/>
    <sheet name="Date issue summary" sheetId="4" r:id="rId4"/>
    <sheet name="Order status issue summary" sheetId="5" r:id="rId5"/>
    <sheet name="Sales_profit calculation mismat" sheetId="6" r:id="rId6"/>
    <sheet name="Final clean vs flagged record c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7" l="1"/>
  <c r="B6" i="7"/>
  <c r="B5" i="7"/>
  <c r="B4" i="7"/>
  <c r="M4" i="6"/>
  <c r="M3" i="6"/>
  <c r="B4" i="4"/>
  <c r="B6" i="4" l="1"/>
  <c r="C3" i="3"/>
  <c r="C4" i="3"/>
</calcChain>
</file>

<file path=xl/sharedStrings.xml><?xml version="1.0" encoding="utf-8"?>
<sst xmlns="http://schemas.openxmlformats.org/spreadsheetml/2006/main" count="62" uniqueCount="50">
  <si>
    <t>Metric</t>
  </si>
  <si>
    <t>Count</t>
  </si>
  <si>
    <t>No. of exact duplicate rows</t>
  </si>
  <si>
    <t>No. of duplicate order IDs</t>
  </si>
  <si>
    <t>No. of records removed</t>
  </si>
  <si>
    <t>No. of records flagged for review</t>
  </si>
  <si>
    <t>Duplicate Handling Logic</t>
  </si>
  <si>
    <t>Rule</t>
  </si>
  <si>
    <t>Action</t>
  </si>
  <si>
    <t>Exact duplicate row</t>
  </si>
  <si>
    <t>Retain first occurrence and remove duplicates</t>
  </si>
  <si>
    <t>Duplicate order ID with identical information</t>
  </si>
  <si>
    <t>Remove duplicate copy</t>
  </si>
  <si>
    <t>Duplicate order ID with conflicting information</t>
  </si>
  <si>
    <t>Retain all records</t>
  </si>
  <si>
    <t>Conflicting duplicate records</t>
  </si>
  <si>
    <t>Flag for manual review</t>
  </si>
  <si>
    <t>Silent deletion of conflicting records</t>
  </si>
  <si>
    <t>Not permitted</t>
  </si>
  <si>
    <t>Missing Region Filled</t>
  </si>
  <si>
    <t>Missing Ship Mode Filled</t>
  </si>
  <si>
    <t>Missing Discount Converted to 0</t>
  </si>
  <si>
    <t>Invalid Shipping Records</t>
  </si>
  <si>
    <t>Cancelled Orders</t>
  </si>
  <si>
    <t>Failed Payments</t>
  </si>
  <si>
    <t>Refunded Payments</t>
  </si>
  <si>
    <t>Ship Date before Order Date</t>
  </si>
  <si>
    <t>Issue</t>
  </si>
  <si>
    <t>Negative Discount</t>
  </si>
  <si>
    <t>COUNTIF(cleaned_discount,"&lt;0")</t>
  </si>
  <si>
    <t>Discount Above Allowed Range</t>
  </si>
  <si>
    <t>COUNTIF(cleaned_discount,"&gt;1")</t>
  </si>
  <si>
    <t>Count Formula</t>
  </si>
  <si>
    <t>INVALID DISCOUNT SUMMARY</t>
  </si>
  <si>
    <t>MISSING VALUE SUMMARY</t>
  </si>
  <si>
    <t>Missing Dates</t>
  </si>
  <si>
    <t>Invalid Date Text</t>
  </si>
  <si>
    <t>Ship Date Before Order Date</t>
  </si>
  <si>
    <t>DATE ISSUE SUMMARY</t>
  </si>
  <si>
    <t>Refunded Orders</t>
  </si>
  <si>
    <t>ORDER STATUS ISSUE SUMMARY</t>
  </si>
  <si>
    <t>Sales/profit calculation mismatch summary</t>
  </si>
  <si>
    <t>Sales Mismatch</t>
  </si>
  <si>
    <t>Profit Mismatch</t>
  </si>
  <si>
    <t>Final clean vs flagged record count</t>
  </si>
  <si>
    <t>Status</t>
  </si>
  <si>
    <t>Clean</t>
  </si>
  <si>
    <t>Warning</t>
  </si>
  <si>
    <t>Invalid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</si>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</sst>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/>
    <xf numFmtId="0" fontId="1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ta/cleaned_orders.xlsx.xlsx" TargetMode="External"/><Relationship Id="rId2" Type="http://schemas.openxmlformats.org/officeDocument/2006/relationships/externalLinkPath" Target="file:///C:\Users\e40002686\Documents\ananyadas_bitsom_ba_2511216_part1_data_cleaning\data\cleaned_orders.xlsx.xlsx" TargetMode="External"/><Relationship Id="rId1" Type="http://schemas.openxmlformats.org/officeDocument/2006/relationships/externalLinkPath" Target="/Users/e40002686/Documents/ananyadas_bitsom_ba_2511216_part1_data_cleaning/data/cleaned_orders.xlsx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aw_orders"/>
      <sheetName val="Working_Data"/>
      <sheetName val="business_rules"/>
    </sheetNames>
    <sheetDataSet>
      <sheetData sheetId="0">
        <row r="1">
          <cell r="Y1" t="str">
            <v>cleaned_discount</v>
          </cell>
        </row>
        <row r="2">
          <cell r="B2">
            <v>45494</v>
          </cell>
          <cell r="D2">
            <v>6</v>
          </cell>
          <cell r="Y2">
            <v>0.2</v>
          </cell>
          <cell r="AE2" t="str">
            <v>Clean</v>
          </cell>
          <cell r="AF2" t="str">
            <v>Match</v>
          </cell>
          <cell r="AG2" t="str">
            <v>Match</v>
          </cell>
        </row>
        <row r="3">
          <cell r="B3">
            <v>45535</v>
          </cell>
          <cell r="D3">
            <v>5</v>
          </cell>
          <cell r="Y3">
            <v>0</v>
          </cell>
          <cell r="AE3" t="str">
            <v>Clean</v>
          </cell>
          <cell r="AF3" t="str">
            <v>Match</v>
          </cell>
          <cell r="AG3" t="str">
            <v>Match</v>
          </cell>
        </row>
        <row r="4">
          <cell r="B4">
            <v>45451</v>
          </cell>
          <cell r="D4">
            <v>7</v>
          </cell>
          <cell r="Y4">
            <v>0.55000000000000004</v>
          </cell>
          <cell r="AE4" t="str">
            <v>Clean</v>
          </cell>
          <cell r="AF4" t="str">
            <v>Mismatch</v>
          </cell>
          <cell r="AG4" t="str">
            <v>Mismatch</v>
          </cell>
        </row>
        <row r="5">
          <cell r="B5">
            <v>45624</v>
          </cell>
          <cell r="D5">
            <v>1</v>
          </cell>
          <cell r="Y5">
            <v>0.25</v>
          </cell>
          <cell r="AE5" t="str">
            <v>Clean</v>
          </cell>
          <cell r="AF5" t="str">
            <v>Match</v>
          </cell>
          <cell r="AG5" t="str">
            <v>Match</v>
          </cell>
        </row>
        <row r="6">
          <cell r="B6">
            <v>45898</v>
          </cell>
          <cell r="D6">
            <v>3</v>
          </cell>
          <cell r="Y6">
            <v>0</v>
          </cell>
          <cell r="AE6" t="str">
            <v>Clean</v>
          </cell>
          <cell r="AF6" t="str">
            <v>Match</v>
          </cell>
          <cell r="AG6" t="str">
            <v>Match</v>
          </cell>
        </row>
        <row r="7">
          <cell r="B7">
            <v>45436</v>
          </cell>
          <cell r="D7">
            <v>4</v>
          </cell>
          <cell r="Y7">
            <v>0.2</v>
          </cell>
          <cell r="AE7" t="str">
            <v>Clean</v>
          </cell>
          <cell r="AF7" t="str">
            <v>Match</v>
          </cell>
          <cell r="AG7" t="str">
            <v>Match</v>
          </cell>
        </row>
        <row r="8">
          <cell r="B8">
            <v>45757</v>
          </cell>
          <cell r="D8">
            <v>6</v>
          </cell>
          <cell r="Y8">
            <v>0.15</v>
          </cell>
          <cell r="AE8" t="str">
            <v>Clean</v>
          </cell>
          <cell r="AF8" t="str">
            <v>Match</v>
          </cell>
          <cell r="AG8" t="str">
            <v>Match</v>
          </cell>
        </row>
        <row r="9">
          <cell r="B9">
            <v>45711</v>
          </cell>
          <cell r="D9">
            <v>3</v>
          </cell>
          <cell r="Y9">
            <v>0</v>
          </cell>
          <cell r="AE9" t="str">
            <v>Clean</v>
          </cell>
          <cell r="AF9" t="str">
            <v>Match</v>
          </cell>
          <cell r="AG9" t="str">
            <v>Match</v>
          </cell>
        </row>
        <row r="10">
          <cell r="B10">
            <v>45601</v>
          </cell>
          <cell r="D10">
            <v>5</v>
          </cell>
          <cell r="Y10">
            <v>0</v>
          </cell>
          <cell r="AE10" t="str">
            <v>Clean</v>
          </cell>
          <cell r="AF10" t="str">
            <v>Match</v>
          </cell>
          <cell r="AG10" t="str">
            <v>Match</v>
          </cell>
        </row>
        <row r="11">
          <cell r="B11">
            <v>45907</v>
          </cell>
          <cell r="D11">
            <v>5</v>
          </cell>
          <cell r="Y11">
            <v>0.2</v>
          </cell>
          <cell r="AE11" t="str">
            <v>Clean</v>
          </cell>
          <cell r="AF11" t="str">
            <v>Match</v>
          </cell>
          <cell r="AG11" t="str">
            <v>Match</v>
          </cell>
        </row>
        <row r="12">
          <cell r="B12">
            <v>45797</v>
          </cell>
          <cell r="D12">
            <v>0</v>
          </cell>
          <cell r="Y12">
            <v>0.05</v>
          </cell>
          <cell r="AE12" t="str">
            <v>Clean</v>
          </cell>
          <cell r="AF12" t="str">
            <v>Match</v>
          </cell>
          <cell r="AG12" t="str">
            <v>Match</v>
          </cell>
        </row>
        <row r="13">
          <cell r="B13">
            <v>45495</v>
          </cell>
          <cell r="D13">
            <v>1</v>
          </cell>
          <cell r="Y13">
            <v>0.2</v>
          </cell>
          <cell r="AE13" t="str">
            <v>Clean</v>
          </cell>
          <cell r="AF13" t="str">
            <v>Match</v>
          </cell>
          <cell r="AG13" t="str">
            <v>Match</v>
          </cell>
        </row>
        <row r="14">
          <cell r="B14">
            <v>45646</v>
          </cell>
          <cell r="D14">
            <v>1</v>
          </cell>
          <cell r="Y14">
            <v>0.15</v>
          </cell>
          <cell r="AE14" t="str">
            <v>Clean</v>
          </cell>
          <cell r="AF14" t="str">
            <v>Match</v>
          </cell>
          <cell r="AG14" t="str">
            <v>Match</v>
          </cell>
        </row>
        <row r="15">
          <cell r="B15">
            <v>45942</v>
          </cell>
          <cell r="D15">
            <v>4</v>
          </cell>
          <cell r="Y15">
            <v>0.05</v>
          </cell>
          <cell r="AE15" t="str">
            <v>Clean</v>
          </cell>
          <cell r="AF15" t="str">
            <v>Match</v>
          </cell>
          <cell r="AG15" t="str">
            <v>Match</v>
          </cell>
        </row>
        <row r="16">
          <cell r="B16">
            <v>45653</v>
          </cell>
          <cell r="D16">
            <v>1</v>
          </cell>
          <cell r="Y16">
            <v>0.25</v>
          </cell>
          <cell r="AE16" t="str">
            <v>Clean</v>
          </cell>
          <cell r="AF16" t="str">
            <v>Match</v>
          </cell>
          <cell r="AG16" t="str">
            <v>Match</v>
          </cell>
        </row>
        <row r="17">
          <cell r="B17">
            <v>45482</v>
          </cell>
          <cell r="D17">
            <v>0</v>
          </cell>
          <cell r="Y17">
            <v>0</v>
          </cell>
          <cell r="AE17" t="str">
            <v>Clean</v>
          </cell>
          <cell r="AF17" t="str">
            <v>Match</v>
          </cell>
          <cell r="AG17" t="str">
            <v>Match</v>
          </cell>
        </row>
        <row r="18">
          <cell r="B18">
            <v>45420</v>
          </cell>
          <cell r="D18">
            <v>7</v>
          </cell>
          <cell r="Y18">
            <v>0.25</v>
          </cell>
          <cell r="AE18" t="str">
            <v>Clean</v>
          </cell>
          <cell r="AF18" t="str">
            <v>Match</v>
          </cell>
          <cell r="AG18" t="str">
            <v>Match</v>
          </cell>
        </row>
        <row r="19">
          <cell r="B19">
            <v>45298</v>
          </cell>
          <cell r="D19">
            <v>1</v>
          </cell>
          <cell r="Y19">
            <v>0</v>
          </cell>
          <cell r="AE19" t="str">
            <v>Clean</v>
          </cell>
          <cell r="AF19" t="str">
            <v>Match</v>
          </cell>
          <cell r="AG19" t="str">
            <v>Match</v>
          </cell>
        </row>
        <row r="20">
          <cell r="B20">
            <v>45853</v>
          </cell>
          <cell r="D20">
            <v>2</v>
          </cell>
          <cell r="Y20">
            <v>0</v>
          </cell>
          <cell r="AE20" t="str">
            <v>Clean</v>
          </cell>
          <cell r="AF20" t="str">
            <v>Match</v>
          </cell>
          <cell r="AG20" t="str">
            <v>Match</v>
          </cell>
        </row>
        <row r="21">
          <cell r="B21">
            <v>45500</v>
          </cell>
          <cell r="D21">
            <v>4</v>
          </cell>
          <cell r="Y21">
            <v>-0.19</v>
          </cell>
          <cell r="AE21" t="str">
            <v>Invalid</v>
          </cell>
          <cell r="AF21" t="str">
            <v>Mismatch</v>
          </cell>
          <cell r="AG21" t="str">
            <v>Mismatch</v>
          </cell>
        </row>
        <row r="22">
          <cell r="B22">
            <v>45678</v>
          </cell>
          <cell r="D22">
            <v>2</v>
          </cell>
          <cell r="Y22">
            <v>0.25</v>
          </cell>
          <cell r="AE22" t="str">
            <v>Clean</v>
          </cell>
          <cell r="AF22" t="str">
            <v>Match</v>
          </cell>
          <cell r="AG22" t="str">
            <v>Match</v>
          </cell>
        </row>
        <row r="23">
          <cell r="B23">
            <v>45681</v>
          </cell>
          <cell r="D23">
            <v>6</v>
          </cell>
          <cell r="Y23">
            <v>-0.23</v>
          </cell>
          <cell r="AE23" t="str">
            <v>Invalid</v>
          </cell>
          <cell r="AF23" t="str">
            <v>Mismatch</v>
          </cell>
          <cell r="AG23" t="str">
            <v>Mismatch</v>
          </cell>
        </row>
        <row r="24">
          <cell r="B24">
            <v>45676</v>
          </cell>
          <cell r="D24">
            <v>2</v>
          </cell>
          <cell r="Y24">
            <v>0.15</v>
          </cell>
          <cell r="AE24" t="str">
            <v>Clean</v>
          </cell>
          <cell r="AF24" t="str">
            <v>Match</v>
          </cell>
          <cell r="AG24" t="str">
            <v>Match</v>
          </cell>
        </row>
        <row r="25">
          <cell r="B25">
            <v>45898</v>
          </cell>
          <cell r="D25">
            <v>2</v>
          </cell>
          <cell r="Y25">
            <v>0.2</v>
          </cell>
          <cell r="AE25" t="str">
            <v>Clean</v>
          </cell>
          <cell r="AF25" t="str">
            <v>Match</v>
          </cell>
          <cell r="AG25" t="str">
            <v>Match</v>
          </cell>
        </row>
        <row r="26">
          <cell r="B26">
            <v>45355</v>
          </cell>
          <cell r="D26">
            <v>-3</v>
          </cell>
          <cell r="Y26">
            <v>0.25</v>
          </cell>
          <cell r="AE26" t="str">
            <v>Invalid</v>
          </cell>
          <cell r="AF26" t="str">
            <v>Match</v>
          </cell>
          <cell r="AG26" t="str">
            <v>Match</v>
          </cell>
        </row>
        <row r="27">
          <cell r="B27">
            <v>45576</v>
          </cell>
          <cell r="D27">
            <v>8</v>
          </cell>
          <cell r="Y27">
            <v>0.15</v>
          </cell>
          <cell r="AE27" t="str">
            <v>Clean</v>
          </cell>
          <cell r="AF27" t="str">
            <v>Match</v>
          </cell>
          <cell r="AG27" t="str">
            <v>Match</v>
          </cell>
        </row>
        <row r="28">
          <cell r="B28">
            <v>45619</v>
          </cell>
          <cell r="D28">
            <v>0</v>
          </cell>
          <cell r="Y28">
            <v>0.1</v>
          </cell>
          <cell r="AE28" t="str">
            <v>Clean</v>
          </cell>
          <cell r="AF28" t="str">
            <v>Match</v>
          </cell>
          <cell r="AG28" t="str">
            <v>Match</v>
          </cell>
        </row>
        <row r="29">
          <cell r="B29">
            <v>45929</v>
          </cell>
          <cell r="D29">
            <v>6</v>
          </cell>
          <cell r="Y29">
            <v>0.25</v>
          </cell>
          <cell r="AE29" t="str">
            <v>Clean</v>
          </cell>
          <cell r="AF29" t="str">
            <v>Match</v>
          </cell>
          <cell r="AG29" t="str">
            <v>Match</v>
          </cell>
        </row>
        <row r="30">
          <cell r="B30">
            <v>45576</v>
          </cell>
          <cell r="D30">
            <v>7</v>
          </cell>
          <cell r="Y30">
            <v>0.25</v>
          </cell>
          <cell r="AE30" t="str">
            <v>Clean</v>
          </cell>
          <cell r="AF30" t="str">
            <v>Match</v>
          </cell>
          <cell r="AG30" t="str">
            <v>Match</v>
          </cell>
        </row>
        <row r="31">
          <cell r="B31">
            <v>45882</v>
          </cell>
          <cell r="D31">
            <v>0</v>
          </cell>
          <cell r="Y31">
            <v>0.15</v>
          </cell>
          <cell r="AE31" t="str">
            <v>Clean</v>
          </cell>
          <cell r="AF31" t="str">
            <v>Match</v>
          </cell>
          <cell r="AG31" t="str">
            <v>Match</v>
          </cell>
        </row>
        <row r="32">
          <cell r="B32">
            <v>45331</v>
          </cell>
          <cell r="D32">
            <v>3</v>
          </cell>
          <cell r="Y32">
            <v>0.1</v>
          </cell>
          <cell r="AE32" t="str">
            <v>Clean</v>
          </cell>
          <cell r="AF32" t="str">
            <v>Match</v>
          </cell>
          <cell r="AG32" t="str">
            <v>Match</v>
          </cell>
        </row>
        <row r="33">
          <cell r="B33">
            <v>45823</v>
          </cell>
          <cell r="D33">
            <v>4</v>
          </cell>
          <cell r="Y33">
            <v>0</v>
          </cell>
          <cell r="AE33" t="str">
            <v>Clean</v>
          </cell>
          <cell r="AF33" t="str">
            <v>Match</v>
          </cell>
          <cell r="AG33" t="str">
            <v>Match</v>
          </cell>
        </row>
        <row r="34">
          <cell r="B34">
            <v>45618</v>
          </cell>
          <cell r="D34">
            <v>4</v>
          </cell>
          <cell r="Y34">
            <v>0</v>
          </cell>
          <cell r="AE34" t="str">
            <v>Clean</v>
          </cell>
          <cell r="AF34" t="str">
            <v>Mismatch</v>
          </cell>
          <cell r="AG34" t="str">
            <v>Mismatch</v>
          </cell>
        </row>
        <row r="35">
          <cell r="B35">
            <v>45495</v>
          </cell>
          <cell r="D35">
            <v>5</v>
          </cell>
          <cell r="Y35">
            <v>0.25</v>
          </cell>
          <cell r="AE35" t="str">
            <v>Clean</v>
          </cell>
          <cell r="AF35" t="str">
            <v>Match</v>
          </cell>
          <cell r="AG35" t="str">
            <v>Match</v>
          </cell>
        </row>
        <row r="36">
          <cell r="B36">
            <v>45688</v>
          </cell>
          <cell r="D36">
            <v>5</v>
          </cell>
          <cell r="Y36">
            <v>0.2</v>
          </cell>
          <cell r="AE36" t="str">
            <v>Clean</v>
          </cell>
          <cell r="AF36" t="str">
            <v>Match</v>
          </cell>
          <cell r="AG36" t="str">
            <v>Mismatch</v>
          </cell>
        </row>
        <row r="37">
          <cell r="B37">
            <v>45441</v>
          </cell>
          <cell r="D37">
            <v>0</v>
          </cell>
          <cell r="Y37">
            <v>0.05</v>
          </cell>
          <cell r="AE37" t="str">
            <v>Clean</v>
          </cell>
          <cell r="AF37" t="str">
            <v>Match</v>
          </cell>
          <cell r="AG37" t="str">
            <v>Match</v>
          </cell>
        </row>
        <row r="38">
          <cell r="B38">
            <v>45590</v>
          </cell>
          <cell r="D38">
            <v>3</v>
          </cell>
          <cell r="Y38">
            <v>0</v>
          </cell>
          <cell r="AE38" t="str">
            <v>Clean</v>
          </cell>
          <cell r="AF38" t="str">
            <v>Match</v>
          </cell>
          <cell r="AG38" t="str">
            <v>Match</v>
          </cell>
        </row>
        <row r="39">
          <cell r="B39">
            <v>45867</v>
          </cell>
          <cell r="D39">
            <v>0</v>
          </cell>
          <cell r="Y39">
            <v>0.2</v>
          </cell>
          <cell r="AE39" t="str">
            <v>Clean</v>
          </cell>
          <cell r="AF39" t="str">
            <v>Match</v>
          </cell>
          <cell r="AG39" t="str">
            <v>Match</v>
          </cell>
        </row>
        <row r="40">
          <cell r="B40">
            <v>45460</v>
          </cell>
          <cell r="D40">
            <v>5</v>
          </cell>
          <cell r="Y40">
            <v>0.1</v>
          </cell>
          <cell r="AE40" t="str">
            <v>Clean</v>
          </cell>
          <cell r="AF40" t="str">
            <v>Match</v>
          </cell>
          <cell r="AG40" t="str">
            <v>Match</v>
          </cell>
        </row>
        <row r="41">
          <cell r="B41">
            <v>45637</v>
          </cell>
          <cell r="D41">
            <v>0</v>
          </cell>
          <cell r="Y41">
            <v>0.1</v>
          </cell>
          <cell r="AE41" t="str">
            <v>Clean</v>
          </cell>
          <cell r="AF41" t="str">
            <v>Match</v>
          </cell>
          <cell r="AG41" t="str">
            <v>Match</v>
          </cell>
        </row>
        <row r="42">
          <cell r="B42">
            <v>45575</v>
          </cell>
          <cell r="D42">
            <v>6</v>
          </cell>
          <cell r="Y42">
            <v>0.2</v>
          </cell>
          <cell r="AE42" t="str">
            <v>Clean</v>
          </cell>
          <cell r="AF42" t="str">
            <v>Match</v>
          </cell>
          <cell r="AG42" t="str">
            <v>Match</v>
          </cell>
        </row>
        <row r="43">
          <cell r="B43">
            <v>45363</v>
          </cell>
          <cell r="D43">
            <v>5</v>
          </cell>
          <cell r="Y43">
            <v>0</v>
          </cell>
          <cell r="AE43" t="str">
            <v>Clean</v>
          </cell>
          <cell r="AF43" t="str">
            <v>Match</v>
          </cell>
          <cell r="AG43" t="str">
            <v>Match</v>
          </cell>
        </row>
        <row r="44">
          <cell r="B44">
            <v>45940</v>
          </cell>
          <cell r="D44">
            <v>5</v>
          </cell>
          <cell r="Y44">
            <v>0.05</v>
          </cell>
          <cell r="AE44" t="str">
            <v>Clean</v>
          </cell>
          <cell r="AF44" t="str">
            <v>Match</v>
          </cell>
          <cell r="AG44" t="str">
            <v>Match</v>
          </cell>
        </row>
        <row r="45">
          <cell r="B45">
            <v>45481</v>
          </cell>
          <cell r="D45">
            <v>6</v>
          </cell>
          <cell r="Y45">
            <v>0</v>
          </cell>
          <cell r="AE45" t="str">
            <v>Clean</v>
          </cell>
          <cell r="AF45" t="str">
            <v>Match</v>
          </cell>
          <cell r="AG45" t="str">
            <v>Match</v>
          </cell>
        </row>
        <row r="46">
          <cell r="B46">
            <v>45465</v>
          </cell>
          <cell r="D46">
            <v>3</v>
          </cell>
          <cell r="Y46">
            <v>0.1</v>
          </cell>
          <cell r="AE46" t="str">
            <v>Clean</v>
          </cell>
          <cell r="AF46" t="str">
            <v>Match</v>
          </cell>
          <cell r="AG46" t="str">
            <v>Match</v>
          </cell>
        </row>
        <row r="47">
          <cell r="B47">
            <v>45309</v>
          </cell>
          <cell r="D47">
            <v>6</v>
          </cell>
          <cell r="Y47">
            <v>0.05</v>
          </cell>
          <cell r="AE47" t="str">
            <v>Clean</v>
          </cell>
          <cell r="AF47" t="str">
            <v>Match</v>
          </cell>
          <cell r="AG47" t="str">
            <v>Match</v>
          </cell>
        </row>
        <row r="48">
          <cell r="B48">
            <v>45492</v>
          </cell>
          <cell r="D48">
            <v>0</v>
          </cell>
          <cell r="Y48">
            <v>0.25</v>
          </cell>
          <cell r="AE48" t="str">
            <v>Clean</v>
          </cell>
          <cell r="AF48" t="str">
            <v>Match</v>
          </cell>
          <cell r="AG48" t="str">
            <v>Match</v>
          </cell>
        </row>
        <row r="49">
          <cell r="B49">
            <v>45516</v>
          </cell>
          <cell r="D49">
            <v>0</v>
          </cell>
          <cell r="Y49">
            <v>0.1</v>
          </cell>
          <cell r="AE49" t="str">
            <v>Clean</v>
          </cell>
          <cell r="AF49" t="str">
            <v>Match</v>
          </cell>
          <cell r="AG49" t="str">
            <v>Match</v>
          </cell>
        </row>
        <row r="50">
          <cell r="B50">
            <v>45687</v>
          </cell>
          <cell r="D50">
            <v>6</v>
          </cell>
          <cell r="Y50">
            <v>0</v>
          </cell>
          <cell r="AE50" t="str">
            <v>Clean</v>
          </cell>
          <cell r="AF50" t="str">
            <v>Match</v>
          </cell>
          <cell r="AG50" t="str">
            <v>Match</v>
          </cell>
        </row>
        <row r="51">
          <cell r="B51">
            <v>45388</v>
          </cell>
          <cell r="D51">
            <v>7</v>
          </cell>
          <cell r="Y51">
            <v>0.05</v>
          </cell>
          <cell r="AE51" t="str">
            <v>Clean</v>
          </cell>
          <cell r="AF51" t="str">
            <v>Match</v>
          </cell>
          <cell r="AG51" t="str">
            <v>Match</v>
          </cell>
        </row>
        <row r="52">
          <cell r="B52">
            <v>45788</v>
          </cell>
          <cell r="D52">
            <v>8</v>
          </cell>
          <cell r="Y52">
            <v>0.15</v>
          </cell>
          <cell r="AE52" t="str">
            <v>Clean</v>
          </cell>
          <cell r="AF52" t="str">
            <v>Match</v>
          </cell>
          <cell r="AG52" t="str">
            <v>Match</v>
          </cell>
        </row>
        <row r="53">
          <cell r="B53">
            <v>45406</v>
          </cell>
          <cell r="D53">
            <v>5</v>
          </cell>
          <cell r="Y53">
            <v>0</v>
          </cell>
          <cell r="AE53" t="str">
            <v>Clean</v>
          </cell>
          <cell r="AF53" t="str">
            <v>Match</v>
          </cell>
          <cell r="AG53" t="str">
            <v>Match</v>
          </cell>
        </row>
        <row r="54">
          <cell r="B54">
            <v>45591</v>
          </cell>
          <cell r="D54">
            <v>2</v>
          </cell>
          <cell r="Y54">
            <v>0</v>
          </cell>
          <cell r="AE54" t="str">
            <v>Clean</v>
          </cell>
          <cell r="AF54" t="str">
            <v>Match</v>
          </cell>
          <cell r="AG54" t="str">
            <v>Match</v>
          </cell>
        </row>
        <row r="55">
          <cell r="B55">
            <v>45747</v>
          </cell>
          <cell r="D55">
            <v>0</v>
          </cell>
          <cell r="Y55">
            <v>0.15</v>
          </cell>
          <cell r="AE55" t="str">
            <v>Clean</v>
          </cell>
          <cell r="AF55" t="str">
            <v>Match</v>
          </cell>
          <cell r="AG55" t="str">
            <v>Match</v>
          </cell>
        </row>
        <row r="56">
          <cell r="B56">
            <v>45807</v>
          </cell>
          <cell r="D56">
            <v>3</v>
          </cell>
          <cell r="Y56">
            <v>0.1</v>
          </cell>
          <cell r="AE56" t="str">
            <v>Clean</v>
          </cell>
          <cell r="AF56" t="str">
            <v>Match</v>
          </cell>
          <cell r="AG56" t="str">
            <v>Match</v>
          </cell>
        </row>
        <row r="57">
          <cell r="B57">
            <v>45839</v>
          </cell>
          <cell r="D57">
            <v>2</v>
          </cell>
          <cell r="Y57">
            <v>0.25</v>
          </cell>
          <cell r="AE57" t="str">
            <v>Clean</v>
          </cell>
          <cell r="AF57" t="str">
            <v>Match</v>
          </cell>
          <cell r="AG57" t="str">
            <v>Match</v>
          </cell>
        </row>
        <row r="58">
          <cell r="B58">
            <v>45662</v>
          </cell>
          <cell r="D58">
            <v>1</v>
          </cell>
          <cell r="Y58">
            <v>0</v>
          </cell>
          <cell r="AE58" t="str">
            <v>Clean</v>
          </cell>
          <cell r="AF58" t="str">
            <v>Match</v>
          </cell>
          <cell r="AG58" t="str">
            <v>Match</v>
          </cell>
        </row>
        <row r="59">
          <cell r="B59">
            <v>45329</v>
          </cell>
          <cell r="D59">
            <v>8</v>
          </cell>
          <cell r="Y59">
            <v>0</v>
          </cell>
          <cell r="AE59" t="str">
            <v>Clean</v>
          </cell>
          <cell r="AF59" t="str">
            <v>Match</v>
          </cell>
          <cell r="AG59" t="str">
            <v>Match</v>
          </cell>
        </row>
        <row r="60">
          <cell r="B60">
            <v>45536</v>
          </cell>
          <cell r="D60">
            <v>6</v>
          </cell>
          <cell r="Y60">
            <v>0.1</v>
          </cell>
          <cell r="AE60" t="str">
            <v>Clean</v>
          </cell>
          <cell r="AF60" t="str">
            <v>Match</v>
          </cell>
          <cell r="AG60" t="str">
            <v>Match</v>
          </cell>
        </row>
        <row r="61">
          <cell r="B61">
            <v>45493</v>
          </cell>
          <cell r="D61">
            <v>5</v>
          </cell>
          <cell r="Y61">
            <v>0.2</v>
          </cell>
          <cell r="AE61" t="str">
            <v>Clean</v>
          </cell>
          <cell r="AF61" t="str">
            <v>Match</v>
          </cell>
          <cell r="AG61" t="str">
            <v>Match</v>
          </cell>
        </row>
        <row r="62">
          <cell r="B62">
            <v>45486</v>
          </cell>
          <cell r="D62">
            <v>6</v>
          </cell>
          <cell r="Y62">
            <v>0.2</v>
          </cell>
          <cell r="AE62" t="str">
            <v>Clean</v>
          </cell>
          <cell r="AF62" t="str">
            <v>Match</v>
          </cell>
          <cell r="AG62" t="str">
            <v>Match</v>
          </cell>
        </row>
        <row r="63">
          <cell r="B63">
            <v>45398</v>
          </cell>
          <cell r="D63">
            <v>0</v>
          </cell>
          <cell r="Y63">
            <v>0</v>
          </cell>
          <cell r="AE63" t="str">
            <v>Clean</v>
          </cell>
          <cell r="AF63" t="str">
            <v>Match</v>
          </cell>
          <cell r="AG63" t="str">
            <v>Match</v>
          </cell>
        </row>
        <row r="64">
          <cell r="B64">
            <v>45595</v>
          </cell>
          <cell r="D64">
            <v>3</v>
          </cell>
          <cell r="Y64">
            <v>0.2</v>
          </cell>
          <cell r="AE64" t="str">
            <v>Clean</v>
          </cell>
          <cell r="AF64" t="str">
            <v>Match</v>
          </cell>
          <cell r="AG64" t="str">
            <v>Match</v>
          </cell>
        </row>
        <row r="65">
          <cell r="B65">
            <v>45316</v>
          </cell>
          <cell r="D65">
            <v>7</v>
          </cell>
          <cell r="Y65">
            <v>0.15</v>
          </cell>
          <cell r="AE65" t="str">
            <v>Clean</v>
          </cell>
          <cell r="AF65" t="str">
            <v>Match</v>
          </cell>
          <cell r="AG65" t="str">
            <v>Mismatch</v>
          </cell>
        </row>
        <row r="66">
          <cell r="B66">
            <v>45649</v>
          </cell>
          <cell r="D66">
            <v>6</v>
          </cell>
          <cell r="Y66">
            <v>0</v>
          </cell>
          <cell r="AE66" t="str">
            <v>Clean</v>
          </cell>
          <cell r="AF66" t="str">
            <v>Match</v>
          </cell>
          <cell r="AG66" t="str">
            <v>Match</v>
          </cell>
        </row>
        <row r="67">
          <cell r="B67">
            <v>45404</v>
          </cell>
          <cell r="D67">
            <v>5</v>
          </cell>
          <cell r="Y67">
            <v>0.05</v>
          </cell>
          <cell r="AE67" t="str">
            <v>Clean</v>
          </cell>
          <cell r="AF67" t="str">
            <v>Match</v>
          </cell>
          <cell r="AG67" t="str">
            <v>Match</v>
          </cell>
        </row>
        <row r="68">
          <cell r="B68">
            <v>45897</v>
          </cell>
          <cell r="D68">
            <v>4</v>
          </cell>
          <cell r="Y68">
            <v>0.05</v>
          </cell>
          <cell r="AE68" t="str">
            <v>Clean</v>
          </cell>
          <cell r="AF68" t="str">
            <v>Match</v>
          </cell>
          <cell r="AG68" t="str">
            <v>Match</v>
          </cell>
        </row>
        <row r="69">
          <cell r="B69">
            <v>45691</v>
          </cell>
          <cell r="D69">
            <v>4</v>
          </cell>
          <cell r="Y69">
            <v>0.05</v>
          </cell>
          <cell r="AE69" t="str">
            <v>Clean</v>
          </cell>
          <cell r="AF69" t="str">
            <v>Match</v>
          </cell>
          <cell r="AG69" t="str">
            <v>Match</v>
          </cell>
        </row>
        <row r="70">
          <cell r="B70">
            <v>45606</v>
          </cell>
          <cell r="D70">
            <v>3</v>
          </cell>
          <cell r="Y70">
            <v>0</v>
          </cell>
          <cell r="AE70" t="str">
            <v>Clean</v>
          </cell>
          <cell r="AF70" t="str">
            <v>Match</v>
          </cell>
          <cell r="AG70" t="str">
            <v>Match</v>
          </cell>
        </row>
        <row r="71">
          <cell r="B71">
            <v>45391</v>
          </cell>
          <cell r="D71">
            <v>5</v>
          </cell>
          <cell r="Y71">
            <v>0.1</v>
          </cell>
          <cell r="AE71" t="str">
            <v>Clean</v>
          </cell>
          <cell r="AF71" t="str">
            <v>Match</v>
          </cell>
          <cell r="AG71" t="str">
            <v>Match</v>
          </cell>
        </row>
        <row r="72">
          <cell r="B72">
            <v>45891</v>
          </cell>
          <cell r="D72">
            <v>5</v>
          </cell>
          <cell r="Y72">
            <v>0.15</v>
          </cell>
          <cell r="AE72" t="str">
            <v>Clean</v>
          </cell>
          <cell r="AF72" t="str">
            <v>Match</v>
          </cell>
          <cell r="AG72" t="str">
            <v>Match</v>
          </cell>
        </row>
        <row r="73">
          <cell r="B73">
            <v>45763</v>
          </cell>
          <cell r="D73">
            <v>7</v>
          </cell>
          <cell r="Y73">
            <v>0.1</v>
          </cell>
          <cell r="AE73" t="str">
            <v>Clean</v>
          </cell>
          <cell r="AF73" t="str">
            <v>Match</v>
          </cell>
          <cell r="AG73" t="str">
            <v>Match</v>
          </cell>
        </row>
        <row r="74">
          <cell r="B74">
            <v>45333</v>
          </cell>
          <cell r="D74">
            <v>-4</v>
          </cell>
          <cell r="Y74">
            <v>0.15</v>
          </cell>
          <cell r="AE74" t="str">
            <v>Invalid</v>
          </cell>
          <cell r="AF74" t="str">
            <v>Match</v>
          </cell>
          <cell r="AG74" t="str">
            <v>Match</v>
          </cell>
        </row>
        <row r="75">
          <cell r="B75">
            <v>45745</v>
          </cell>
          <cell r="D75">
            <v>5</v>
          </cell>
          <cell r="Y75">
            <v>0</v>
          </cell>
          <cell r="AE75" t="str">
            <v>Clean</v>
          </cell>
          <cell r="AF75" t="str">
            <v>Match</v>
          </cell>
          <cell r="AG75" t="str">
            <v>Match</v>
          </cell>
        </row>
        <row r="76">
          <cell r="B76">
            <v>45715</v>
          </cell>
          <cell r="D76">
            <v>2</v>
          </cell>
          <cell r="Y76">
            <v>0</v>
          </cell>
          <cell r="AE76" t="str">
            <v>Clean</v>
          </cell>
          <cell r="AF76" t="str">
            <v>Match</v>
          </cell>
          <cell r="AG76" t="str">
            <v>Match</v>
          </cell>
        </row>
        <row r="77">
          <cell r="B77">
            <v>45891</v>
          </cell>
          <cell r="D77">
            <v>5</v>
          </cell>
          <cell r="Y77">
            <v>0.2</v>
          </cell>
          <cell r="AE77" t="str">
            <v>Clean</v>
          </cell>
          <cell r="AF77" t="str">
            <v>Match</v>
          </cell>
          <cell r="AG77" t="str">
            <v>Match</v>
          </cell>
        </row>
        <row r="78">
          <cell r="B78">
            <v>45599</v>
          </cell>
          <cell r="D78">
            <v>8</v>
          </cell>
          <cell r="Y78">
            <v>0</v>
          </cell>
          <cell r="AE78" t="str">
            <v>Clean</v>
          </cell>
          <cell r="AF78" t="str">
            <v>Match</v>
          </cell>
          <cell r="AG78" t="str">
            <v>Match</v>
          </cell>
        </row>
        <row r="79">
          <cell r="B79">
            <v>45846</v>
          </cell>
          <cell r="D79">
            <v>4</v>
          </cell>
          <cell r="Y79">
            <v>0.15</v>
          </cell>
          <cell r="AE79" t="str">
            <v>Clean</v>
          </cell>
          <cell r="AF79" t="str">
            <v>Match</v>
          </cell>
          <cell r="AG79" t="str">
            <v>Match</v>
          </cell>
        </row>
        <row r="80">
          <cell r="B80">
            <v>45854</v>
          </cell>
          <cell r="D80">
            <v>5</v>
          </cell>
          <cell r="Y80">
            <v>0.15</v>
          </cell>
          <cell r="AE80" t="str">
            <v>Clean</v>
          </cell>
          <cell r="AF80" t="str">
            <v>Match</v>
          </cell>
          <cell r="AG80" t="str">
            <v>Match</v>
          </cell>
        </row>
        <row r="81">
          <cell r="B81">
            <v>45927</v>
          </cell>
          <cell r="D81">
            <v>6</v>
          </cell>
          <cell r="Y81">
            <v>0.1</v>
          </cell>
          <cell r="AE81" t="str">
            <v>Clean</v>
          </cell>
          <cell r="AF81" t="str">
            <v>Match</v>
          </cell>
          <cell r="AG81" t="str">
            <v>Match</v>
          </cell>
        </row>
        <row r="82">
          <cell r="B82">
            <v>45514</v>
          </cell>
          <cell r="D82">
            <v>4</v>
          </cell>
          <cell r="Y82">
            <v>0.1</v>
          </cell>
          <cell r="AE82" t="str">
            <v>Clean</v>
          </cell>
          <cell r="AF82" t="str">
            <v>Match</v>
          </cell>
          <cell r="AG82" t="str">
            <v>Match</v>
          </cell>
        </row>
        <row r="83">
          <cell r="B83">
            <v>45732</v>
          </cell>
          <cell r="D83">
            <v>1</v>
          </cell>
          <cell r="Y83">
            <v>0</v>
          </cell>
          <cell r="AE83" t="str">
            <v>Clean</v>
          </cell>
          <cell r="AF83" t="str">
            <v>Match</v>
          </cell>
          <cell r="AG83" t="str">
            <v>Match</v>
          </cell>
        </row>
        <row r="84">
          <cell r="B84">
            <v>45507</v>
          </cell>
          <cell r="D84">
            <v>1</v>
          </cell>
          <cell r="Y84">
            <v>0</v>
          </cell>
          <cell r="AE84" t="str">
            <v>Clean</v>
          </cell>
          <cell r="AF84" t="str">
            <v>Match</v>
          </cell>
          <cell r="AG84" t="str">
            <v>Match</v>
          </cell>
        </row>
        <row r="85">
          <cell r="B85">
            <v>45591</v>
          </cell>
          <cell r="D85">
            <v>3</v>
          </cell>
          <cell r="Y85">
            <v>0.2</v>
          </cell>
          <cell r="AE85" t="str">
            <v>Clean</v>
          </cell>
          <cell r="AF85" t="str">
            <v>Match</v>
          </cell>
          <cell r="AG85" t="str">
            <v>Match</v>
          </cell>
        </row>
        <row r="86">
          <cell r="B86">
            <v>45566</v>
          </cell>
          <cell r="D86">
            <v>2</v>
          </cell>
          <cell r="Y86">
            <v>0.2</v>
          </cell>
          <cell r="AE86" t="str">
            <v>Clean</v>
          </cell>
          <cell r="AF86" t="str">
            <v>Match</v>
          </cell>
          <cell r="AG86" t="str">
            <v>Match</v>
          </cell>
        </row>
        <row r="87">
          <cell r="B87">
            <v>45503</v>
          </cell>
          <cell r="D87">
            <v>6</v>
          </cell>
          <cell r="Y87">
            <v>0</v>
          </cell>
          <cell r="AE87" t="str">
            <v>Clean</v>
          </cell>
          <cell r="AF87" t="str">
            <v>Match</v>
          </cell>
          <cell r="AG87" t="str">
            <v>Match</v>
          </cell>
        </row>
        <row r="88">
          <cell r="B88">
            <v>45474</v>
          </cell>
          <cell r="D88">
            <v>0</v>
          </cell>
          <cell r="Y88">
            <v>0.1</v>
          </cell>
          <cell r="AE88" t="str">
            <v>Clean</v>
          </cell>
          <cell r="AF88" t="str">
            <v>Match</v>
          </cell>
          <cell r="AG88" t="str">
            <v>Match</v>
          </cell>
        </row>
        <row r="89">
          <cell r="B89">
            <v>45506</v>
          </cell>
          <cell r="D89">
            <v>1</v>
          </cell>
          <cell r="Y89">
            <v>0</v>
          </cell>
          <cell r="AE89" t="str">
            <v>Clean</v>
          </cell>
          <cell r="AF89" t="str">
            <v>Match</v>
          </cell>
          <cell r="AG89" t="str">
            <v>Match</v>
          </cell>
        </row>
        <row r="90">
          <cell r="B90">
            <v>45375</v>
          </cell>
          <cell r="D90">
            <v>3</v>
          </cell>
          <cell r="Y90">
            <v>0.05</v>
          </cell>
          <cell r="AE90" t="str">
            <v>Clean</v>
          </cell>
          <cell r="AF90" t="str">
            <v>Match</v>
          </cell>
          <cell r="AG90" t="str">
            <v>Match</v>
          </cell>
        </row>
        <row r="91">
          <cell r="B91">
            <v>45540</v>
          </cell>
          <cell r="D91">
            <v>0</v>
          </cell>
          <cell r="Y91">
            <v>0.2</v>
          </cell>
          <cell r="AE91" t="str">
            <v>Clean</v>
          </cell>
          <cell r="AF91" t="str">
            <v>Match</v>
          </cell>
          <cell r="AG91" t="str">
            <v>Match</v>
          </cell>
        </row>
        <row r="92">
          <cell r="B92">
            <v>45893</v>
          </cell>
          <cell r="D92">
            <v>5</v>
          </cell>
          <cell r="Y92">
            <v>0.15</v>
          </cell>
          <cell r="AE92" t="str">
            <v>Warning</v>
          </cell>
          <cell r="AF92" t="str">
            <v>Match</v>
          </cell>
          <cell r="AG92" t="str">
            <v>Match</v>
          </cell>
        </row>
        <row r="93">
          <cell r="B93">
            <v>45718</v>
          </cell>
          <cell r="D93">
            <v>6</v>
          </cell>
          <cell r="Y93">
            <v>0</v>
          </cell>
          <cell r="AE93" t="str">
            <v>Clean</v>
          </cell>
          <cell r="AF93" t="str">
            <v>Match</v>
          </cell>
          <cell r="AG93" t="str">
            <v>Mismatch</v>
          </cell>
        </row>
        <row r="94">
          <cell r="B94">
            <v>45680</v>
          </cell>
          <cell r="D94">
            <v>3</v>
          </cell>
          <cell r="Y94">
            <v>0.1</v>
          </cell>
          <cell r="AE94" t="str">
            <v>Clean</v>
          </cell>
          <cell r="AF94" t="str">
            <v>Match</v>
          </cell>
          <cell r="AG94" t="str">
            <v>Match</v>
          </cell>
        </row>
        <row r="95">
          <cell r="B95">
            <v>45298</v>
          </cell>
          <cell r="D95">
            <v>6</v>
          </cell>
          <cell r="Y95">
            <v>-0.09</v>
          </cell>
          <cell r="AE95" t="str">
            <v>Invalid</v>
          </cell>
          <cell r="AF95" t="str">
            <v>Mismatch</v>
          </cell>
          <cell r="AG95" t="str">
            <v>Mismatch</v>
          </cell>
        </row>
        <row r="96">
          <cell r="B96">
            <v>45541</v>
          </cell>
          <cell r="D96">
            <v>3</v>
          </cell>
          <cell r="Y96">
            <v>0</v>
          </cell>
          <cell r="AE96" t="str">
            <v>Clean</v>
          </cell>
          <cell r="AF96" t="str">
            <v>Match</v>
          </cell>
          <cell r="AG96" t="str">
            <v>Match</v>
          </cell>
        </row>
        <row r="97">
          <cell r="B97">
            <v>45905</v>
          </cell>
          <cell r="D97">
            <v>5</v>
          </cell>
          <cell r="Y97">
            <v>0</v>
          </cell>
          <cell r="AE97" t="str">
            <v>Clean</v>
          </cell>
          <cell r="AF97" t="str">
            <v>Match</v>
          </cell>
          <cell r="AG97" t="str">
            <v>Match</v>
          </cell>
        </row>
        <row r="98">
          <cell r="B98">
            <v>45448</v>
          </cell>
          <cell r="D98">
            <v>2</v>
          </cell>
          <cell r="Y98">
            <v>0.15</v>
          </cell>
          <cell r="AE98" t="str">
            <v>Clean</v>
          </cell>
          <cell r="AF98" t="str">
            <v>Match</v>
          </cell>
          <cell r="AG98" t="str">
            <v>Match</v>
          </cell>
        </row>
        <row r="99">
          <cell r="B99">
            <v>45877</v>
          </cell>
          <cell r="D99">
            <v>3</v>
          </cell>
          <cell r="Y99">
            <v>0.2</v>
          </cell>
          <cell r="AE99" t="str">
            <v>Clean</v>
          </cell>
          <cell r="AF99" t="str">
            <v>Match</v>
          </cell>
          <cell r="AG99" t="str">
            <v>Match</v>
          </cell>
        </row>
        <row r="100">
          <cell r="B100">
            <v>45317</v>
          </cell>
          <cell r="D100">
            <v>6</v>
          </cell>
          <cell r="Y100">
            <v>0.1</v>
          </cell>
          <cell r="AE100" t="str">
            <v>Clean</v>
          </cell>
          <cell r="AF100" t="str">
            <v>Match</v>
          </cell>
          <cell r="AG100" t="str">
            <v>Match</v>
          </cell>
        </row>
        <row r="101">
          <cell r="B101">
            <v>45668</v>
          </cell>
          <cell r="D101">
            <v>0</v>
          </cell>
          <cell r="Y101">
            <v>0</v>
          </cell>
          <cell r="AE101" t="str">
            <v>Clean</v>
          </cell>
          <cell r="AF101" t="str">
            <v>Match</v>
          </cell>
          <cell r="AG101" t="str">
            <v>Match</v>
          </cell>
        </row>
        <row r="102">
          <cell r="B102">
            <v>45912</v>
          </cell>
          <cell r="D102">
            <v>6</v>
          </cell>
          <cell r="Y102">
            <v>0.05</v>
          </cell>
          <cell r="AE102" t="str">
            <v>Clean</v>
          </cell>
          <cell r="AF102" t="str">
            <v>Match</v>
          </cell>
          <cell r="AG102" t="str">
            <v>Match</v>
          </cell>
        </row>
        <row r="103">
          <cell r="B103">
            <v>45465</v>
          </cell>
          <cell r="D103">
            <v>4</v>
          </cell>
          <cell r="Y103">
            <v>0.25</v>
          </cell>
          <cell r="AE103" t="str">
            <v>Clean</v>
          </cell>
          <cell r="AF103" t="str">
            <v>Match</v>
          </cell>
          <cell r="AG103" t="str">
            <v>Match</v>
          </cell>
        </row>
        <row r="104">
          <cell r="B104">
            <v>45850</v>
          </cell>
          <cell r="D104">
            <v>4</v>
          </cell>
          <cell r="Y104">
            <v>0</v>
          </cell>
          <cell r="AE104" t="str">
            <v>Clean</v>
          </cell>
          <cell r="AF104" t="str">
            <v>Match</v>
          </cell>
          <cell r="AG104" t="str">
            <v>Match</v>
          </cell>
        </row>
        <row r="105">
          <cell r="B105">
            <v>45779</v>
          </cell>
          <cell r="D105">
            <v>8</v>
          </cell>
          <cell r="Y105">
            <v>0.2</v>
          </cell>
          <cell r="AE105" t="str">
            <v>Clean</v>
          </cell>
          <cell r="AF105" t="str">
            <v>Match</v>
          </cell>
          <cell r="AG105" t="str">
            <v>Match</v>
          </cell>
        </row>
        <row r="106">
          <cell r="B106">
            <v>45689</v>
          </cell>
          <cell r="D106">
            <v>7</v>
          </cell>
          <cell r="Y106">
            <v>0.25</v>
          </cell>
          <cell r="AE106" t="str">
            <v>Clean</v>
          </cell>
          <cell r="AF106" t="str">
            <v>Mismatch</v>
          </cell>
          <cell r="AG106" t="str">
            <v>Match</v>
          </cell>
        </row>
        <row r="107">
          <cell r="B107">
            <v>45467</v>
          </cell>
          <cell r="D107">
            <v>5</v>
          </cell>
          <cell r="Y107">
            <v>0.1</v>
          </cell>
          <cell r="AE107" t="str">
            <v>Clean</v>
          </cell>
          <cell r="AF107" t="str">
            <v>Match</v>
          </cell>
          <cell r="AG107" t="str">
            <v>Match</v>
          </cell>
        </row>
        <row r="108">
          <cell r="B108">
            <v>45342</v>
          </cell>
          <cell r="D108">
            <v>8</v>
          </cell>
          <cell r="Y108">
            <v>0</v>
          </cell>
          <cell r="AE108" t="str">
            <v>Clean</v>
          </cell>
          <cell r="AF108" t="str">
            <v>Mismatch</v>
          </cell>
          <cell r="AG108" t="str">
            <v>Mismatch</v>
          </cell>
        </row>
        <row r="109">
          <cell r="B109">
            <v>45594</v>
          </cell>
          <cell r="D109">
            <v>6</v>
          </cell>
          <cell r="Y109">
            <v>0.05</v>
          </cell>
          <cell r="AE109" t="str">
            <v>Clean</v>
          </cell>
          <cell r="AF109" t="str">
            <v>Match</v>
          </cell>
          <cell r="AG109" t="str">
            <v>Match</v>
          </cell>
        </row>
        <row r="110">
          <cell r="B110">
            <v>45519</v>
          </cell>
          <cell r="D110">
            <v>8</v>
          </cell>
          <cell r="Y110">
            <v>0.25</v>
          </cell>
          <cell r="AE110" t="str">
            <v>Clean</v>
          </cell>
          <cell r="AF110" t="str">
            <v>Match</v>
          </cell>
          <cell r="AG110" t="str">
            <v>Match</v>
          </cell>
        </row>
        <row r="111">
          <cell r="B111">
            <v>45892</v>
          </cell>
          <cell r="D111">
            <v>4</v>
          </cell>
          <cell r="Y111">
            <v>0.25</v>
          </cell>
          <cell r="AE111" t="str">
            <v>Clean</v>
          </cell>
          <cell r="AF111" t="str">
            <v>Match</v>
          </cell>
          <cell r="AG111" t="str">
            <v>Match</v>
          </cell>
        </row>
        <row r="112">
          <cell r="B112">
            <v>45583</v>
          </cell>
          <cell r="D112">
            <v>6</v>
          </cell>
          <cell r="Y112">
            <v>0</v>
          </cell>
          <cell r="AE112" t="str">
            <v>Clean</v>
          </cell>
          <cell r="AF112" t="str">
            <v>Match</v>
          </cell>
          <cell r="AG112" t="str">
            <v>Match</v>
          </cell>
        </row>
        <row r="113">
          <cell r="B113">
            <v>45835</v>
          </cell>
          <cell r="D113">
            <v>3</v>
          </cell>
          <cell r="Y113">
            <v>0.05</v>
          </cell>
          <cell r="AE113" t="str">
            <v>Clean</v>
          </cell>
          <cell r="AF113" t="str">
            <v>Match</v>
          </cell>
          <cell r="AG113" t="str">
            <v>Match</v>
          </cell>
        </row>
        <row r="114">
          <cell r="B114">
            <v>45301</v>
          </cell>
          <cell r="D114">
            <v>4</v>
          </cell>
          <cell r="Y114">
            <v>0.05</v>
          </cell>
          <cell r="AE114" t="str">
            <v>Clean</v>
          </cell>
          <cell r="AF114" t="str">
            <v>Match</v>
          </cell>
          <cell r="AG114" t="str">
            <v>Match</v>
          </cell>
        </row>
        <row r="115">
          <cell r="B115">
            <v>45334</v>
          </cell>
          <cell r="D115">
            <v>0</v>
          </cell>
          <cell r="Y115">
            <v>0.25</v>
          </cell>
          <cell r="AE115" t="str">
            <v>Clean</v>
          </cell>
          <cell r="AF115" t="str">
            <v>Match</v>
          </cell>
          <cell r="AG115" t="str">
            <v>Match</v>
          </cell>
        </row>
        <row r="116">
          <cell r="B116">
            <v>45560</v>
          </cell>
          <cell r="D116">
            <v>5</v>
          </cell>
          <cell r="Y116">
            <v>0.1</v>
          </cell>
          <cell r="AE116" t="str">
            <v>Clean</v>
          </cell>
          <cell r="AF116" t="str">
            <v>Match</v>
          </cell>
          <cell r="AG116" t="str">
            <v>Match</v>
          </cell>
        </row>
        <row r="117">
          <cell r="B117">
            <v>45653</v>
          </cell>
          <cell r="D117">
            <v>5</v>
          </cell>
          <cell r="Y117">
            <v>0.15</v>
          </cell>
          <cell r="AE117" t="str">
            <v>Clean</v>
          </cell>
          <cell r="AF117" t="str">
            <v>Match</v>
          </cell>
          <cell r="AG117" t="str">
            <v>Match</v>
          </cell>
        </row>
        <row r="118">
          <cell r="B118">
            <v>45703</v>
          </cell>
          <cell r="D118">
            <v>4</v>
          </cell>
          <cell r="Y118">
            <v>0.25</v>
          </cell>
          <cell r="AE118" t="str">
            <v>Clean</v>
          </cell>
          <cell r="AF118" t="str">
            <v>Match</v>
          </cell>
          <cell r="AG118" t="str">
            <v>Match</v>
          </cell>
        </row>
        <row r="119">
          <cell r="B119">
            <v>45337</v>
          </cell>
          <cell r="D119">
            <v>2</v>
          </cell>
          <cell r="Y119">
            <v>0.7</v>
          </cell>
          <cell r="AE119" t="str">
            <v>Clean</v>
          </cell>
          <cell r="AF119" t="str">
            <v>Mismatch</v>
          </cell>
          <cell r="AG119" t="str">
            <v>Mismatch</v>
          </cell>
        </row>
        <row r="120">
          <cell r="B120">
            <v>45453</v>
          </cell>
          <cell r="D120">
            <v>8</v>
          </cell>
          <cell r="Y120">
            <v>0.2</v>
          </cell>
          <cell r="AE120" t="str">
            <v>Clean</v>
          </cell>
          <cell r="AF120" t="str">
            <v>Match</v>
          </cell>
          <cell r="AG120" t="str">
            <v>Match</v>
          </cell>
        </row>
        <row r="121">
          <cell r="B121">
            <v>45455</v>
          </cell>
          <cell r="D121">
            <v>7</v>
          </cell>
          <cell r="Y121">
            <v>0.25</v>
          </cell>
          <cell r="AE121" t="str">
            <v>Clean</v>
          </cell>
          <cell r="AF121" t="str">
            <v>Match</v>
          </cell>
          <cell r="AG121" t="str">
            <v>Match</v>
          </cell>
        </row>
        <row r="122">
          <cell r="B122">
            <v>45514</v>
          </cell>
          <cell r="D122">
            <v>8</v>
          </cell>
          <cell r="Y122">
            <v>0.2</v>
          </cell>
          <cell r="AE122" t="str">
            <v>Clean</v>
          </cell>
          <cell r="AF122" t="str">
            <v>Match</v>
          </cell>
          <cell r="AG122" t="str">
            <v>Match</v>
          </cell>
        </row>
        <row r="123">
          <cell r="B123">
            <v>45891</v>
          </cell>
          <cell r="D123">
            <v>4</v>
          </cell>
          <cell r="Y123">
            <v>0</v>
          </cell>
          <cell r="AE123" t="str">
            <v>Clean</v>
          </cell>
          <cell r="AF123" t="str">
            <v>Match</v>
          </cell>
          <cell r="AG123" t="str">
            <v>Match</v>
          </cell>
        </row>
        <row r="124">
          <cell r="B124">
            <v>45626</v>
          </cell>
          <cell r="D124">
            <v>4</v>
          </cell>
          <cell r="Y124">
            <v>0</v>
          </cell>
          <cell r="AE124" t="str">
            <v>Clean</v>
          </cell>
          <cell r="AF124" t="str">
            <v>Match</v>
          </cell>
          <cell r="AG124" t="str">
            <v>Match</v>
          </cell>
        </row>
        <row r="125">
          <cell r="B125">
            <v>45436</v>
          </cell>
          <cell r="D125">
            <v>1</v>
          </cell>
          <cell r="Y125">
            <v>0</v>
          </cell>
          <cell r="AE125" t="str">
            <v>Warning</v>
          </cell>
          <cell r="AF125" t="str">
            <v>Match</v>
          </cell>
          <cell r="AG125" t="str">
            <v>Match</v>
          </cell>
        </row>
        <row r="126">
          <cell r="B126">
            <v>45494</v>
          </cell>
          <cell r="D126">
            <v>3</v>
          </cell>
          <cell r="Y126">
            <v>-0.15</v>
          </cell>
          <cell r="AE126" t="str">
            <v>Invalid</v>
          </cell>
          <cell r="AF126" t="str">
            <v>Mismatch</v>
          </cell>
          <cell r="AG126" t="str">
            <v>Mismatch</v>
          </cell>
        </row>
        <row r="127">
          <cell r="B127">
            <v>45855</v>
          </cell>
          <cell r="D127">
            <v>1</v>
          </cell>
          <cell r="Y127">
            <v>0.25</v>
          </cell>
          <cell r="AE127" t="str">
            <v>Clean</v>
          </cell>
          <cell r="AF127" t="str">
            <v>Match</v>
          </cell>
          <cell r="AG127" t="str">
            <v>Match</v>
          </cell>
        </row>
        <row r="128">
          <cell r="B128">
            <v>45924</v>
          </cell>
          <cell r="D128">
            <v>2</v>
          </cell>
          <cell r="Y128">
            <v>0.1</v>
          </cell>
          <cell r="AE128" t="str">
            <v>Clean</v>
          </cell>
          <cell r="AF128" t="str">
            <v>Match</v>
          </cell>
          <cell r="AG128" t="str">
            <v>Match</v>
          </cell>
        </row>
        <row r="129">
          <cell r="B129">
            <v>45687</v>
          </cell>
          <cell r="D129">
            <v>-4</v>
          </cell>
          <cell r="Y129">
            <v>0.05</v>
          </cell>
          <cell r="AE129" t="str">
            <v>Invalid</v>
          </cell>
          <cell r="AF129" t="str">
            <v>Match</v>
          </cell>
          <cell r="AG129" t="str">
            <v>Match</v>
          </cell>
        </row>
        <row r="130">
          <cell r="B130">
            <v>45639</v>
          </cell>
          <cell r="D130">
            <v>3</v>
          </cell>
          <cell r="Y130">
            <v>0.05</v>
          </cell>
          <cell r="AE130" t="str">
            <v>Clean</v>
          </cell>
          <cell r="AF130" t="str">
            <v>Match</v>
          </cell>
          <cell r="AG130" t="str">
            <v>Match</v>
          </cell>
        </row>
        <row r="131">
          <cell r="B131">
            <v>45492</v>
          </cell>
          <cell r="D131">
            <v>6</v>
          </cell>
          <cell r="Y131">
            <v>0.05</v>
          </cell>
          <cell r="AE131" t="str">
            <v>Clean</v>
          </cell>
          <cell r="AF131" t="str">
            <v>Match</v>
          </cell>
          <cell r="AG131" t="str">
            <v>Match</v>
          </cell>
        </row>
        <row r="132">
          <cell r="B132">
            <v>45318</v>
          </cell>
          <cell r="D132">
            <v>6</v>
          </cell>
          <cell r="Y132">
            <v>0.2</v>
          </cell>
          <cell r="AE132" t="str">
            <v>Clean</v>
          </cell>
          <cell r="AF132" t="str">
            <v>Match</v>
          </cell>
          <cell r="AG132" t="str">
            <v>Match</v>
          </cell>
        </row>
        <row r="133">
          <cell r="B133">
            <v>45929</v>
          </cell>
          <cell r="D133">
            <v>5</v>
          </cell>
          <cell r="Y133">
            <v>0.2</v>
          </cell>
          <cell r="AE133" t="str">
            <v>Clean</v>
          </cell>
          <cell r="AF133" t="str">
            <v>Match</v>
          </cell>
          <cell r="AG133" t="str">
            <v>Match</v>
          </cell>
        </row>
        <row r="134">
          <cell r="B134">
            <v>45600</v>
          </cell>
          <cell r="D134">
            <v>0</v>
          </cell>
          <cell r="Y134">
            <v>0</v>
          </cell>
          <cell r="AE134" t="str">
            <v>Clean</v>
          </cell>
          <cell r="AF134" t="str">
            <v>Match</v>
          </cell>
          <cell r="AG134" t="str">
            <v>Match</v>
          </cell>
        </row>
        <row r="135">
          <cell r="B135">
            <v>45639</v>
          </cell>
          <cell r="D135">
            <v>5</v>
          </cell>
          <cell r="Y135">
            <v>0.15</v>
          </cell>
          <cell r="AE135" t="str">
            <v>Clean</v>
          </cell>
          <cell r="AF135" t="str">
            <v>Match</v>
          </cell>
          <cell r="AG135" t="str">
            <v>Match</v>
          </cell>
        </row>
        <row r="136">
          <cell r="B136">
            <v>45852</v>
          </cell>
          <cell r="D136">
            <v>0</v>
          </cell>
          <cell r="Y136">
            <v>0.25</v>
          </cell>
          <cell r="AE136" t="str">
            <v>Clean</v>
          </cell>
          <cell r="AF136" t="str">
            <v>Match</v>
          </cell>
          <cell r="AG136" t="str">
            <v>Match</v>
          </cell>
        </row>
        <row r="137">
          <cell r="B137">
            <v>45893</v>
          </cell>
          <cell r="D137">
            <v>0</v>
          </cell>
          <cell r="Y137">
            <v>0</v>
          </cell>
          <cell r="AE137" t="str">
            <v>Clean</v>
          </cell>
          <cell r="AF137" t="str">
            <v>Match</v>
          </cell>
          <cell r="AG137" t="str">
            <v>Match</v>
          </cell>
        </row>
        <row r="138">
          <cell r="B138">
            <v>45697</v>
          </cell>
          <cell r="D138">
            <v>6</v>
          </cell>
          <cell r="Y138">
            <v>0.2</v>
          </cell>
          <cell r="AE138" t="str">
            <v>Clean</v>
          </cell>
          <cell r="AF138" t="str">
            <v>Match</v>
          </cell>
          <cell r="AG138" t="str">
            <v>Match</v>
          </cell>
        </row>
        <row r="139">
          <cell r="B139">
            <v>45666</v>
          </cell>
          <cell r="D139">
            <v>0</v>
          </cell>
          <cell r="Y139">
            <v>0.1</v>
          </cell>
          <cell r="AE139" t="str">
            <v>Clean</v>
          </cell>
          <cell r="AF139" t="str">
            <v>Match</v>
          </cell>
          <cell r="AG139" t="str">
            <v>Match</v>
          </cell>
        </row>
        <row r="140">
          <cell r="B140">
            <v>45311</v>
          </cell>
          <cell r="D140">
            <v>6</v>
          </cell>
          <cell r="Y140">
            <v>0.25</v>
          </cell>
          <cell r="AE140" t="str">
            <v>Clean</v>
          </cell>
          <cell r="AF140" t="str">
            <v>Match</v>
          </cell>
          <cell r="AG140" t="str">
            <v>Match</v>
          </cell>
        </row>
        <row r="141">
          <cell r="B141">
            <v>45718</v>
          </cell>
          <cell r="D141">
            <v>5</v>
          </cell>
          <cell r="Y141">
            <v>0</v>
          </cell>
          <cell r="AE141" t="str">
            <v>Clean</v>
          </cell>
          <cell r="AF141" t="str">
            <v>Match</v>
          </cell>
          <cell r="AG141" t="str">
            <v>Match</v>
          </cell>
        </row>
        <row r="142">
          <cell r="B142">
            <v>45443</v>
          </cell>
          <cell r="D142">
            <v>1</v>
          </cell>
          <cell r="Y142">
            <v>0</v>
          </cell>
          <cell r="AE142" t="str">
            <v>Clean</v>
          </cell>
          <cell r="AF142" t="str">
            <v>Match</v>
          </cell>
          <cell r="AG142" t="str">
            <v>Match</v>
          </cell>
        </row>
        <row r="143">
          <cell r="B143">
            <v>45374</v>
          </cell>
          <cell r="D143">
            <v>6</v>
          </cell>
          <cell r="Y143">
            <v>0.1</v>
          </cell>
          <cell r="AE143" t="str">
            <v>Clean</v>
          </cell>
          <cell r="AF143" t="str">
            <v>Match</v>
          </cell>
          <cell r="AG143" t="str">
            <v>Match</v>
          </cell>
        </row>
        <row r="144">
          <cell r="B144">
            <v>45381</v>
          </cell>
          <cell r="D144">
            <v>-4</v>
          </cell>
          <cell r="Y144">
            <v>0.15</v>
          </cell>
          <cell r="AE144" t="str">
            <v>Invalid</v>
          </cell>
          <cell r="AF144" t="str">
            <v>Match</v>
          </cell>
          <cell r="AG144" t="str">
            <v>Match</v>
          </cell>
        </row>
        <row r="145">
          <cell r="B145">
            <v>45375</v>
          </cell>
          <cell r="D145">
            <v>2</v>
          </cell>
          <cell r="Y145">
            <v>0.1</v>
          </cell>
          <cell r="AE145" t="str">
            <v>Clean</v>
          </cell>
          <cell r="AF145" t="str">
            <v>Match</v>
          </cell>
          <cell r="AG145" t="str">
            <v>Match</v>
          </cell>
        </row>
        <row r="146">
          <cell r="B146">
            <v>45450</v>
          </cell>
          <cell r="D146">
            <v>8</v>
          </cell>
          <cell r="Y146">
            <v>0.25</v>
          </cell>
          <cell r="AE146" t="str">
            <v>Clean</v>
          </cell>
          <cell r="AF146" t="str">
            <v>Match</v>
          </cell>
          <cell r="AG146" t="str">
            <v>Match</v>
          </cell>
        </row>
        <row r="147">
          <cell r="B147">
            <v>45758</v>
          </cell>
          <cell r="D147">
            <v>2</v>
          </cell>
          <cell r="Y147">
            <v>0.1</v>
          </cell>
          <cell r="AE147" t="str">
            <v>Clean</v>
          </cell>
          <cell r="AF147" t="str">
            <v>Match</v>
          </cell>
          <cell r="AG147" t="str">
            <v>Match</v>
          </cell>
        </row>
        <row r="148">
          <cell r="B148">
            <v>45868</v>
          </cell>
          <cell r="D148">
            <v>2</v>
          </cell>
          <cell r="Y148">
            <v>0.1</v>
          </cell>
          <cell r="AE148" t="str">
            <v>Clean</v>
          </cell>
          <cell r="AF148" t="str">
            <v>Match</v>
          </cell>
          <cell r="AG148" t="str">
            <v>Match</v>
          </cell>
        </row>
        <row r="149">
          <cell r="B149">
            <v>45649</v>
          </cell>
          <cell r="D149">
            <v>7</v>
          </cell>
          <cell r="Y149">
            <v>0.1</v>
          </cell>
          <cell r="AE149" t="str">
            <v>Clean</v>
          </cell>
          <cell r="AF149" t="str">
            <v>Match</v>
          </cell>
          <cell r="AG149" t="str">
            <v>Match</v>
          </cell>
        </row>
        <row r="150">
          <cell r="B150">
            <v>45697</v>
          </cell>
          <cell r="D150">
            <v>4</v>
          </cell>
          <cell r="Y150">
            <v>0.25</v>
          </cell>
          <cell r="AE150" t="str">
            <v>Clean</v>
          </cell>
          <cell r="AF150" t="str">
            <v>Match</v>
          </cell>
          <cell r="AG150" t="str">
            <v>Match</v>
          </cell>
        </row>
        <row r="151">
          <cell r="B151">
            <v>45321</v>
          </cell>
          <cell r="D151">
            <v>0</v>
          </cell>
          <cell r="Y151">
            <v>0.25</v>
          </cell>
          <cell r="AE151" t="str">
            <v>Clean</v>
          </cell>
          <cell r="AF151" t="str">
            <v>Match</v>
          </cell>
          <cell r="AG151" t="str">
            <v>Match</v>
          </cell>
        </row>
        <row r="152">
          <cell r="B152">
            <v>45355</v>
          </cell>
          <cell r="D152">
            <v>8</v>
          </cell>
          <cell r="Y152">
            <v>0.1</v>
          </cell>
          <cell r="AE152" t="str">
            <v>Clean</v>
          </cell>
          <cell r="AF152" t="str">
            <v>Match</v>
          </cell>
          <cell r="AG152" t="str">
            <v>Match</v>
          </cell>
        </row>
        <row r="153">
          <cell r="B153">
            <v>45470</v>
          </cell>
          <cell r="D153">
            <v>0</v>
          </cell>
          <cell r="Y153">
            <v>0</v>
          </cell>
          <cell r="AE153" t="str">
            <v>Clean</v>
          </cell>
          <cell r="AF153" t="str">
            <v>Match</v>
          </cell>
          <cell r="AG153" t="str">
            <v>Match</v>
          </cell>
        </row>
        <row r="154">
          <cell r="B154">
            <v>45457</v>
          </cell>
          <cell r="D154">
            <v>3</v>
          </cell>
          <cell r="Y154">
            <v>0.1</v>
          </cell>
          <cell r="AE154" t="str">
            <v>Clean</v>
          </cell>
          <cell r="AF154" t="str">
            <v>Match</v>
          </cell>
          <cell r="AG154" t="str">
            <v>Match</v>
          </cell>
        </row>
        <row r="155">
          <cell r="B155">
            <v>45923</v>
          </cell>
          <cell r="D155">
            <v>2</v>
          </cell>
          <cell r="Y155">
            <v>0</v>
          </cell>
          <cell r="AE155" t="str">
            <v>Clean</v>
          </cell>
          <cell r="AF155" t="str">
            <v>Match</v>
          </cell>
          <cell r="AG155" t="str">
            <v>Match</v>
          </cell>
        </row>
        <row r="156">
          <cell r="B156">
            <v>45334</v>
          </cell>
          <cell r="D156">
            <v>-1</v>
          </cell>
          <cell r="Y156">
            <v>0.15</v>
          </cell>
          <cell r="AE156" t="str">
            <v>Invalid</v>
          </cell>
          <cell r="AF156" t="str">
            <v>Match</v>
          </cell>
          <cell r="AG156" t="str">
            <v>Match</v>
          </cell>
        </row>
        <row r="157">
          <cell r="B157">
            <v>45683</v>
          </cell>
          <cell r="D157">
            <v>8</v>
          </cell>
          <cell r="Y157">
            <v>0.1</v>
          </cell>
          <cell r="AE157" t="str">
            <v>Clean</v>
          </cell>
          <cell r="AF157" t="str">
            <v>Match</v>
          </cell>
          <cell r="AG157" t="str">
            <v>Match</v>
          </cell>
        </row>
        <row r="158">
          <cell r="B158">
            <v>45743</v>
          </cell>
          <cell r="D158">
            <v>0</v>
          </cell>
          <cell r="Y158">
            <v>0.25</v>
          </cell>
          <cell r="AE158" t="str">
            <v>Clean</v>
          </cell>
          <cell r="AF158" t="str">
            <v>Match</v>
          </cell>
          <cell r="AG158" t="str">
            <v>Match</v>
          </cell>
        </row>
        <row r="159">
          <cell r="B159">
            <v>45587</v>
          </cell>
          <cell r="D159">
            <v>2</v>
          </cell>
          <cell r="Y159">
            <v>0.15</v>
          </cell>
          <cell r="AE159" t="str">
            <v>Clean</v>
          </cell>
          <cell r="AF159" t="str">
            <v>Match</v>
          </cell>
          <cell r="AG159" t="str">
            <v>Match</v>
          </cell>
        </row>
        <row r="160">
          <cell r="B160">
            <v>45544</v>
          </cell>
          <cell r="D160">
            <v>2</v>
          </cell>
          <cell r="Y160">
            <v>0.05</v>
          </cell>
          <cell r="AE160" t="str">
            <v>Clean</v>
          </cell>
          <cell r="AF160" t="str">
            <v>Match</v>
          </cell>
          <cell r="AG160" t="str">
            <v>Match</v>
          </cell>
        </row>
        <row r="161">
          <cell r="B161">
            <v>45687</v>
          </cell>
          <cell r="D161">
            <v>5</v>
          </cell>
          <cell r="Y161">
            <v>0.15</v>
          </cell>
          <cell r="AE161" t="str">
            <v>Clean</v>
          </cell>
          <cell r="AF161" t="str">
            <v>Match</v>
          </cell>
          <cell r="AG161" t="str">
            <v>Match</v>
          </cell>
        </row>
        <row r="162">
          <cell r="B162">
            <v>45938</v>
          </cell>
          <cell r="D162">
            <v>-2</v>
          </cell>
          <cell r="Y162">
            <v>0.05</v>
          </cell>
          <cell r="AE162" t="str">
            <v>Invalid</v>
          </cell>
          <cell r="AF162" t="str">
            <v>Match</v>
          </cell>
          <cell r="AG162" t="str">
            <v>Match</v>
          </cell>
        </row>
        <row r="163">
          <cell r="B163">
            <v>45862</v>
          </cell>
          <cell r="D163">
            <v>6</v>
          </cell>
          <cell r="Y163">
            <v>0</v>
          </cell>
          <cell r="AE163" t="str">
            <v>Clean</v>
          </cell>
          <cell r="AF163" t="str">
            <v>Match</v>
          </cell>
          <cell r="AG163" t="str">
            <v>Match</v>
          </cell>
        </row>
        <row r="164">
          <cell r="B164">
            <v>45360</v>
          </cell>
          <cell r="D164">
            <v>5</v>
          </cell>
          <cell r="Y164">
            <v>0</v>
          </cell>
          <cell r="AE164" t="str">
            <v>Clean</v>
          </cell>
          <cell r="AF164" t="str">
            <v>Mismatch</v>
          </cell>
          <cell r="AG164" t="str">
            <v>Match</v>
          </cell>
        </row>
        <row r="165">
          <cell r="B165">
            <v>45921</v>
          </cell>
          <cell r="D165">
            <v>5</v>
          </cell>
          <cell r="Y165">
            <v>0.1</v>
          </cell>
          <cell r="AE165" t="str">
            <v>Clean</v>
          </cell>
          <cell r="AF165" t="str">
            <v>Match</v>
          </cell>
          <cell r="AG165" t="str">
            <v>Match</v>
          </cell>
        </row>
        <row r="166">
          <cell r="B166">
            <v>45909</v>
          </cell>
          <cell r="D166">
            <v>5</v>
          </cell>
          <cell r="Y166">
            <v>0.25</v>
          </cell>
          <cell r="AE166" t="str">
            <v>Clean</v>
          </cell>
          <cell r="AF166" t="str">
            <v>Match</v>
          </cell>
          <cell r="AG166" t="str">
            <v>Match</v>
          </cell>
        </row>
        <row r="167">
          <cell r="B167">
            <v>45618</v>
          </cell>
          <cell r="D167">
            <v>7</v>
          </cell>
          <cell r="Y167">
            <v>0.25</v>
          </cell>
          <cell r="AE167" t="str">
            <v>Clean</v>
          </cell>
          <cell r="AF167" t="str">
            <v>Match</v>
          </cell>
          <cell r="AG167" t="str">
            <v>Match</v>
          </cell>
        </row>
        <row r="168">
          <cell r="B168">
            <v>45708</v>
          </cell>
          <cell r="D168">
            <v>6</v>
          </cell>
          <cell r="Y168">
            <v>0.2</v>
          </cell>
          <cell r="AE168" t="str">
            <v>Clean</v>
          </cell>
          <cell r="AF168" t="str">
            <v>Match</v>
          </cell>
          <cell r="AG168" t="str">
            <v>Match</v>
          </cell>
        </row>
        <row r="169">
          <cell r="B169">
            <v>45887</v>
          </cell>
          <cell r="D169">
            <v>0</v>
          </cell>
          <cell r="Y169">
            <v>0.15</v>
          </cell>
          <cell r="AE169" t="str">
            <v>Clean</v>
          </cell>
          <cell r="AF169" t="str">
            <v>Match</v>
          </cell>
          <cell r="AG169" t="str">
            <v>Match</v>
          </cell>
        </row>
        <row r="170">
          <cell r="B170">
            <v>45677</v>
          </cell>
          <cell r="D170">
            <v>3</v>
          </cell>
          <cell r="Y170">
            <v>0.2</v>
          </cell>
          <cell r="AE170" t="str">
            <v>Clean</v>
          </cell>
          <cell r="AF170" t="str">
            <v>Match</v>
          </cell>
          <cell r="AG170" t="str">
            <v>Match</v>
          </cell>
        </row>
        <row r="171">
          <cell r="B171">
            <v>45913</v>
          </cell>
          <cell r="D171">
            <v>0</v>
          </cell>
          <cell r="Y171">
            <v>0.05</v>
          </cell>
          <cell r="AE171" t="str">
            <v>Clean</v>
          </cell>
          <cell r="AF171" t="str">
            <v>Match</v>
          </cell>
          <cell r="AG171" t="str">
            <v>Match</v>
          </cell>
        </row>
        <row r="172">
          <cell r="B172">
            <v>45907</v>
          </cell>
          <cell r="D172">
            <v>8</v>
          </cell>
          <cell r="Y172">
            <v>0</v>
          </cell>
          <cell r="AE172" t="str">
            <v>Warning</v>
          </cell>
          <cell r="AF172" t="str">
            <v>Match</v>
          </cell>
          <cell r="AG172" t="str">
            <v>Match</v>
          </cell>
        </row>
        <row r="173">
          <cell r="B173">
            <v>45711</v>
          </cell>
          <cell r="D173">
            <v>2</v>
          </cell>
          <cell r="Y173">
            <v>0.25</v>
          </cell>
          <cell r="AE173" t="str">
            <v>Clean</v>
          </cell>
          <cell r="AF173" t="str">
            <v>Match</v>
          </cell>
          <cell r="AG173" t="str">
            <v>Match</v>
          </cell>
        </row>
        <row r="174">
          <cell r="B174">
            <v>45871</v>
          </cell>
          <cell r="D174">
            <v>8</v>
          </cell>
          <cell r="Y174">
            <v>0.1</v>
          </cell>
          <cell r="AE174" t="str">
            <v>Clean</v>
          </cell>
          <cell r="AF174" t="str">
            <v>Match</v>
          </cell>
          <cell r="AG174" t="str">
            <v>Match</v>
          </cell>
        </row>
        <row r="175">
          <cell r="B175">
            <v>45414</v>
          </cell>
          <cell r="D175">
            <v>6</v>
          </cell>
          <cell r="Y175">
            <v>0.25</v>
          </cell>
          <cell r="AE175" t="str">
            <v>Clean</v>
          </cell>
          <cell r="AF175" t="str">
            <v>Match</v>
          </cell>
          <cell r="AG175" t="str">
            <v>Match</v>
          </cell>
        </row>
        <row r="176">
          <cell r="B176">
            <v>45928</v>
          </cell>
          <cell r="D176">
            <v>6</v>
          </cell>
          <cell r="Y176">
            <v>0.15</v>
          </cell>
          <cell r="AE176" t="str">
            <v>Clean</v>
          </cell>
          <cell r="AF176" t="str">
            <v>Match</v>
          </cell>
          <cell r="AG176" t="str">
            <v>Match</v>
          </cell>
        </row>
        <row r="177">
          <cell r="B177">
            <v>45318</v>
          </cell>
          <cell r="D177">
            <v>7</v>
          </cell>
          <cell r="Y177">
            <v>0.15</v>
          </cell>
          <cell r="AE177" t="str">
            <v>Clean</v>
          </cell>
          <cell r="AF177" t="str">
            <v>Match</v>
          </cell>
          <cell r="AG177" t="str">
            <v>Match</v>
          </cell>
        </row>
        <row r="178">
          <cell r="B178">
            <v>45734</v>
          </cell>
          <cell r="D178">
            <v>8</v>
          </cell>
          <cell r="Y178">
            <v>0.15</v>
          </cell>
          <cell r="AE178" t="str">
            <v>Clean</v>
          </cell>
          <cell r="AF178" t="str">
            <v>Match</v>
          </cell>
          <cell r="AG178" t="str">
            <v>Match</v>
          </cell>
        </row>
        <row r="179">
          <cell r="B179">
            <v>45444</v>
          </cell>
          <cell r="D179">
            <v>2</v>
          </cell>
          <cell r="Y179">
            <v>0</v>
          </cell>
          <cell r="AE179" t="str">
            <v>Clean</v>
          </cell>
          <cell r="AF179" t="str">
            <v>Match</v>
          </cell>
          <cell r="AG179" t="str">
            <v>Match</v>
          </cell>
        </row>
        <row r="180">
          <cell r="B180">
            <v>45565</v>
          </cell>
          <cell r="D180">
            <v>0</v>
          </cell>
          <cell r="Y180">
            <v>0</v>
          </cell>
          <cell r="AE180" t="str">
            <v>Clean</v>
          </cell>
          <cell r="AF180" t="str">
            <v>Match</v>
          </cell>
          <cell r="AG180" t="str">
            <v>Match</v>
          </cell>
        </row>
        <row r="181">
          <cell r="B181">
            <v>45366</v>
          </cell>
          <cell r="D181">
            <v>4</v>
          </cell>
          <cell r="Y181">
            <v>0.25</v>
          </cell>
          <cell r="AE181" t="str">
            <v>Clean</v>
          </cell>
          <cell r="AF181" t="str">
            <v>Match</v>
          </cell>
          <cell r="AG181" t="str">
            <v>Match</v>
          </cell>
        </row>
        <row r="182">
          <cell r="B182">
            <v>45530</v>
          </cell>
          <cell r="D182">
            <v>0</v>
          </cell>
          <cell r="Y182">
            <v>0.1</v>
          </cell>
          <cell r="AE182" t="str">
            <v>Clean</v>
          </cell>
          <cell r="AF182" t="str">
            <v>Match</v>
          </cell>
          <cell r="AG182" t="str">
            <v>Match</v>
          </cell>
        </row>
        <row r="183">
          <cell r="B183">
            <v>45909</v>
          </cell>
          <cell r="D183">
            <v>1</v>
          </cell>
          <cell r="Y183">
            <v>0</v>
          </cell>
          <cell r="AE183" t="str">
            <v>Clean</v>
          </cell>
          <cell r="AF183" t="str">
            <v>Match</v>
          </cell>
          <cell r="AG183" t="str">
            <v>Match</v>
          </cell>
        </row>
        <row r="184">
          <cell r="B184">
            <v>45581</v>
          </cell>
          <cell r="D184">
            <v>0</v>
          </cell>
          <cell r="Y184">
            <v>0</v>
          </cell>
          <cell r="AE184" t="str">
            <v>Clean</v>
          </cell>
          <cell r="AF184" t="str">
            <v>Match</v>
          </cell>
          <cell r="AG184" t="str">
            <v>Match</v>
          </cell>
        </row>
        <row r="185">
          <cell r="B185">
            <v>45832</v>
          </cell>
          <cell r="D185">
            <v>3</v>
          </cell>
          <cell r="Y185">
            <v>0.2</v>
          </cell>
          <cell r="AE185" t="str">
            <v>Clean</v>
          </cell>
          <cell r="AF185" t="str">
            <v>Match</v>
          </cell>
          <cell r="AG185" t="str">
            <v>Match</v>
          </cell>
        </row>
        <row r="186">
          <cell r="B186">
            <v>45384</v>
          </cell>
          <cell r="D186">
            <v>4</v>
          </cell>
          <cell r="Y186">
            <v>0</v>
          </cell>
          <cell r="AE186" t="str">
            <v>Clean</v>
          </cell>
          <cell r="AF186" t="str">
            <v>Match</v>
          </cell>
          <cell r="AG186" t="str">
            <v>Match</v>
          </cell>
        </row>
        <row r="187">
          <cell r="B187">
            <v>45601</v>
          </cell>
          <cell r="D187">
            <v>8</v>
          </cell>
          <cell r="Y187">
            <v>0.2</v>
          </cell>
          <cell r="AE187" t="str">
            <v>Clean</v>
          </cell>
          <cell r="AF187" t="str">
            <v>Match</v>
          </cell>
          <cell r="AG187" t="str">
            <v>Match</v>
          </cell>
        </row>
        <row r="188">
          <cell r="B188">
            <v>45492</v>
          </cell>
          <cell r="D188">
            <v>1</v>
          </cell>
          <cell r="Y188">
            <v>0.05</v>
          </cell>
          <cell r="AE188" t="str">
            <v>Clean</v>
          </cell>
          <cell r="AF188" t="str">
            <v>Match</v>
          </cell>
          <cell r="AG188" t="str">
            <v>Match</v>
          </cell>
        </row>
        <row r="189">
          <cell r="B189">
            <v>45778</v>
          </cell>
          <cell r="D189">
            <v>1</v>
          </cell>
          <cell r="Y189">
            <v>0</v>
          </cell>
          <cell r="AE189" t="str">
            <v>Clean</v>
          </cell>
          <cell r="AF189" t="str">
            <v>Match</v>
          </cell>
          <cell r="AG189" t="str">
            <v>Match</v>
          </cell>
        </row>
        <row r="190">
          <cell r="B190">
            <v>45798</v>
          </cell>
          <cell r="D190">
            <v>7</v>
          </cell>
          <cell r="Y190">
            <v>0.1</v>
          </cell>
          <cell r="AE190" t="str">
            <v>Clean</v>
          </cell>
          <cell r="AF190" t="str">
            <v>Mismatch</v>
          </cell>
          <cell r="AG190" t="str">
            <v>Match</v>
          </cell>
        </row>
        <row r="191">
          <cell r="B191">
            <v>45783</v>
          </cell>
          <cell r="D191">
            <v>1</v>
          </cell>
          <cell r="Y191">
            <v>0</v>
          </cell>
          <cell r="AE191" t="str">
            <v>Clean</v>
          </cell>
          <cell r="AF191" t="str">
            <v>Mismatch</v>
          </cell>
          <cell r="AG191" t="str">
            <v>Mismatch</v>
          </cell>
        </row>
        <row r="192">
          <cell r="B192">
            <v>45767</v>
          </cell>
          <cell r="D192">
            <v>1</v>
          </cell>
          <cell r="Y192">
            <v>0.1</v>
          </cell>
          <cell r="AE192" t="str">
            <v>Clean</v>
          </cell>
          <cell r="AF192" t="str">
            <v>Match</v>
          </cell>
          <cell r="AG192" t="str">
            <v>Match</v>
          </cell>
        </row>
        <row r="193">
          <cell r="B193">
            <v>45584</v>
          </cell>
          <cell r="D193">
            <v>5</v>
          </cell>
          <cell r="Y193">
            <v>0.65</v>
          </cell>
          <cell r="AE193" t="str">
            <v>Clean</v>
          </cell>
          <cell r="AF193" t="str">
            <v>Mismatch</v>
          </cell>
          <cell r="AG193" t="str">
            <v>Mismatch</v>
          </cell>
        </row>
        <row r="194">
          <cell r="B194">
            <v>45635</v>
          </cell>
          <cell r="D194">
            <v>7</v>
          </cell>
          <cell r="Y194">
            <v>0</v>
          </cell>
          <cell r="AE194" t="str">
            <v>Clean</v>
          </cell>
          <cell r="AF194" t="str">
            <v>Match</v>
          </cell>
          <cell r="AG194" t="str">
            <v>Match</v>
          </cell>
        </row>
        <row r="195">
          <cell r="B195">
            <v>45466</v>
          </cell>
          <cell r="D195">
            <v>5</v>
          </cell>
          <cell r="Y195">
            <v>0.2</v>
          </cell>
          <cell r="AE195" t="str">
            <v>Clean</v>
          </cell>
          <cell r="AF195" t="str">
            <v>Match</v>
          </cell>
          <cell r="AG195" t="str">
            <v>Match</v>
          </cell>
        </row>
        <row r="196">
          <cell r="B196">
            <v>45685</v>
          </cell>
          <cell r="D196">
            <v>3</v>
          </cell>
          <cell r="Y196">
            <v>0.05</v>
          </cell>
          <cell r="AE196" t="str">
            <v>Clean</v>
          </cell>
          <cell r="AF196" t="str">
            <v>Match</v>
          </cell>
          <cell r="AG196" t="str">
            <v>Match</v>
          </cell>
        </row>
        <row r="197">
          <cell r="B197">
            <v>45860</v>
          </cell>
          <cell r="D197">
            <v>2</v>
          </cell>
          <cell r="Y197">
            <v>0</v>
          </cell>
          <cell r="AE197" t="str">
            <v>Clean</v>
          </cell>
          <cell r="AF197" t="str">
            <v>Match</v>
          </cell>
          <cell r="AG197" t="str">
            <v>Match</v>
          </cell>
        </row>
        <row r="198">
          <cell r="B198">
            <v>45313</v>
          </cell>
          <cell r="D198">
            <v>3</v>
          </cell>
          <cell r="Y198">
            <v>0.1</v>
          </cell>
          <cell r="AE198" t="str">
            <v>Clean</v>
          </cell>
          <cell r="AF198" t="str">
            <v>Match</v>
          </cell>
          <cell r="AG198" t="str">
            <v>Match</v>
          </cell>
        </row>
        <row r="199">
          <cell r="B199">
            <v>45747</v>
          </cell>
          <cell r="D199">
            <v>7</v>
          </cell>
          <cell r="Y199">
            <v>0.15</v>
          </cell>
          <cell r="AE199" t="str">
            <v>Clean</v>
          </cell>
          <cell r="AF199" t="str">
            <v>Match</v>
          </cell>
          <cell r="AG199" t="str">
            <v>Match</v>
          </cell>
        </row>
        <row r="200">
          <cell r="B200">
            <v>45448</v>
          </cell>
          <cell r="D200">
            <v>1</v>
          </cell>
          <cell r="Y200">
            <v>0.05</v>
          </cell>
          <cell r="AE200" t="str">
            <v>Clean</v>
          </cell>
          <cell r="AF200" t="str">
            <v>Match</v>
          </cell>
          <cell r="AG200" t="str">
            <v>Match</v>
          </cell>
        </row>
        <row r="201">
          <cell r="B201">
            <v>45363</v>
          </cell>
          <cell r="D201">
            <v>0</v>
          </cell>
          <cell r="Y201">
            <v>0.25</v>
          </cell>
          <cell r="AE201" t="str">
            <v>Clean</v>
          </cell>
          <cell r="AF201" t="str">
            <v>Match</v>
          </cell>
          <cell r="AG201" t="str">
            <v>Match</v>
          </cell>
        </row>
        <row r="202">
          <cell r="B202">
            <v>45835</v>
          </cell>
          <cell r="D202">
            <v>8</v>
          </cell>
          <cell r="Y202">
            <v>0.1</v>
          </cell>
          <cell r="AE202" t="str">
            <v>Clean</v>
          </cell>
          <cell r="AF202" t="str">
            <v>Match</v>
          </cell>
          <cell r="AG202" t="str">
            <v>Match</v>
          </cell>
        </row>
        <row r="203">
          <cell r="B203">
            <v>45864</v>
          </cell>
          <cell r="D203">
            <v>8</v>
          </cell>
          <cell r="Y203">
            <v>-0.16</v>
          </cell>
          <cell r="AE203" t="str">
            <v>Invalid</v>
          </cell>
          <cell r="AF203" t="str">
            <v>Mismatch</v>
          </cell>
          <cell r="AG203" t="str">
            <v>Mismatch</v>
          </cell>
        </row>
        <row r="204">
          <cell r="B204">
            <v>45744</v>
          </cell>
          <cell r="D204">
            <v>0</v>
          </cell>
          <cell r="Y204">
            <v>0.05</v>
          </cell>
          <cell r="AE204" t="str">
            <v>Clean</v>
          </cell>
          <cell r="AF204" t="str">
            <v>Match</v>
          </cell>
          <cell r="AG204" t="str">
            <v>Match</v>
          </cell>
        </row>
        <row r="205">
          <cell r="B205">
            <v>45379</v>
          </cell>
          <cell r="D205">
            <v>2</v>
          </cell>
          <cell r="Y205">
            <v>0.15</v>
          </cell>
          <cell r="AE205" t="str">
            <v>Clean</v>
          </cell>
          <cell r="AF205" t="str">
            <v>Match</v>
          </cell>
          <cell r="AG205" t="str">
            <v>Match</v>
          </cell>
        </row>
        <row r="206">
          <cell r="B206">
            <v>45858</v>
          </cell>
          <cell r="D206">
            <v>3</v>
          </cell>
          <cell r="Y206">
            <v>0.15</v>
          </cell>
          <cell r="AE206" t="str">
            <v>Clean</v>
          </cell>
          <cell r="AF206" t="str">
            <v>Match</v>
          </cell>
          <cell r="AG206" t="str">
            <v>Match</v>
          </cell>
        </row>
        <row r="207">
          <cell r="B207">
            <v>45768</v>
          </cell>
          <cell r="D207">
            <v>5</v>
          </cell>
          <cell r="Y207">
            <v>0.2</v>
          </cell>
          <cell r="AE207" t="str">
            <v>Clean</v>
          </cell>
          <cell r="AF207" t="str">
            <v>Match</v>
          </cell>
          <cell r="AG207" t="str">
            <v>Match</v>
          </cell>
        </row>
        <row r="208">
          <cell r="B208">
            <v>45795</v>
          </cell>
          <cell r="D208">
            <v>2</v>
          </cell>
          <cell r="Y208">
            <v>0</v>
          </cell>
          <cell r="AE208" t="str">
            <v>Clean</v>
          </cell>
          <cell r="AF208" t="str">
            <v>Match</v>
          </cell>
          <cell r="AG208" t="str">
            <v>Match</v>
          </cell>
        </row>
        <row r="209">
          <cell r="B209">
            <v>45483</v>
          </cell>
          <cell r="D209">
            <v>6</v>
          </cell>
          <cell r="Y209">
            <v>0.2</v>
          </cell>
          <cell r="AE209" t="str">
            <v>Clean</v>
          </cell>
          <cell r="AF209" t="str">
            <v>Match</v>
          </cell>
          <cell r="AG209" t="str">
            <v>Match</v>
          </cell>
        </row>
        <row r="210">
          <cell r="B210">
            <v>45837</v>
          </cell>
          <cell r="D210">
            <v>6</v>
          </cell>
          <cell r="Y210">
            <v>0</v>
          </cell>
          <cell r="AE210" t="str">
            <v>Clean</v>
          </cell>
          <cell r="AF210" t="str">
            <v>Match</v>
          </cell>
          <cell r="AG210" t="str">
            <v>Match</v>
          </cell>
        </row>
        <row r="211">
          <cell r="B211">
            <v>45882</v>
          </cell>
          <cell r="D211">
            <v>1</v>
          </cell>
          <cell r="Y211">
            <v>0.1</v>
          </cell>
          <cell r="AE211" t="str">
            <v>Clean</v>
          </cell>
          <cell r="AF211" t="str">
            <v>Match</v>
          </cell>
          <cell r="AG211" t="str">
            <v>Match</v>
          </cell>
        </row>
        <row r="212">
          <cell r="B212">
            <v>45366</v>
          </cell>
          <cell r="D212">
            <v>3</v>
          </cell>
          <cell r="Y212">
            <v>0</v>
          </cell>
          <cell r="AE212" t="str">
            <v>Clean</v>
          </cell>
          <cell r="AF212" t="str">
            <v>Match</v>
          </cell>
          <cell r="AG212" t="str">
            <v>Match</v>
          </cell>
        </row>
        <row r="213">
          <cell r="B213">
            <v>45428</v>
          </cell>
          <cell r="D213">
            <v>1</v>
          </cell>
          <cell r="Y213">
            <v>0.2</v>
          </cell>
          <cell r="AE213" t="str">
            <v>Clean</v>
          </cell>
          <cell r="AF213" t="str">
            <v>Match</v>
          </cell>
          <cell r="AG213" t="str">
            <v>Match</v>
          </cell>
        </row>
        <row r="214">
          <cell r="B214">
            <v>45556</v>
          </cell>
          <cell r="D214">
            <v>0</v>
          </cell>
          <cell r="Y214">
            <v>0.15</v>
          </cell>
          <cell r="AE214" t="str">
            <v>Clean</v>
          </cell>
          <cell r="AF214" t="str">
            <v>Match</v>
          </cell>
          <cell r="AG214" t="str">
            <v>Match</v>
          </cell>
        </row>
        <row r="215">
          <cell r="B215">
            <v>45427</v>
          </cell>
          <cell r="D215">
            <v>6</v>
          </cell>
          <cell r="Y215">
            <v>0.2</v>
          </cell>
          <cell r="AE215" t="str">
            <v>Clean</v>
          </cell>
          <cell r="AF215" t="str">
            <v>Match</v>
          </cell>
          <cell r="AG215" t="str">
            <v>Match</v>
          </cell>
        </row>
        <row r="216">
          <cell r="B216">
            <v>45368</v>
          </cell>
          <cell r="D216">
            <v>6</v>
          </cell>
          <cell r="Y216">
            <v>0.05</v>
          </cell>
          <cell r="AE216" t="str">
            <v>Clean</v>
          </cell>
          <cell r="AF216" t="str">
            <v>Match</v>
          </cell>
          <cell r="AG216" t="str">
            <v>Match</v>
          </cell>
        </row>
        <row r="217">
          <cell r="B217">
            <v>45352</v>
          </cell>
          <cell r="D217">
            <v>3</v>
          </cell>
          <cell r="Y217">
            <v>0.25</v>
          </cell>
          <cell r="AE217" t="str">
            <v>Clean</v>
          </cell>
          <cell r="AF217" t="str">
            <v>Match</v>
          </cell>
          <cell r="AG217" t="str">
            <v>Match</v>
          </cell>
        </row>
        <row r="218">
          <cell r="B218">
            <v>45757</v>
          </cell>
          <cell r="D218">
            <v>5</v>
          </cell>
          <cell r="Y218">
            <v>0.25</v>
          </cell>
          <cell r="AE218" t="str">
            <v>Clean</v>
          </cell>
          <cell r="AF218" t="str">
            <v>Match</v>
          </cell>
          <cell r="AG218" t="str">
            <v>Match</v>
          </cell>
        </row>
        <row r="219">
          <cell r="B219">
            <v>45748</v>
          </cell>
          <cell r="D219">
            <v>7</v>
          </cell>
          <cell r="Y219">
            <v>0.1</v>
          </cell>
          <cell r="AE219" t="str">
            <v>Clean</v>
          </cell>
          <cell r="AF219" t="str">
            <v>Match</v>
          </cell>
          <cell r="AG219" t="str">
            <v>Match</v>
          </cell>
        </row>
        <row r="220">
          <cell r="B220">
            <v>45714</v>
          </cell>
          <cell r="D220">
            <v>1</v>
          </cell>
          <cell r="Y220">
            <v>0</v>
          </cell>
          <cell r="AE220" t="str">
            <v>Clean</v>
          </cell>
          <cell r="AF220" t="str">
            <v>Match</v>
          </cell>
          <cell r="AG220" t="str">
            <v>Match</v>
          </cell>
        </row>
        <row r="221">
          <cell r="B221">
            <v>45461</v>
          </cell>
          <cell r="D221">
            <v>1</v>
          </cell>
          <cell r="Y221">
            <v>0.85</v>
          </cell>
          <cell r="AE221" t="str">
            <v>Clean</v>
          </cell>
          <cell r="AF221" t="str">
            <v>Mismatch</v>
          </cell>
          <cell r="AG221" t="str">
            <v>Mismatch</v>
          </cell>
        </row>
        <row r="222">
          <cell r="B222">
            <v>45538</v>
          </cell>
          <cell r="D222">
            <v>0</v>
          </cell>
          <cell r="Y222">
            <v>0.15</v>
          </cell>
          <cell r="AE222" t="str">
            <v>Clean</v>
          </cell>
          <cell r="AF222" t="str">
            <v>Match</v>
          </cell>
          <cell r="AG222" t="str">
            <v>Match</v>
          </cell>
        </row>
        <row r="223">
          <cell r="B223">
            <v>45669</v>
          </cell>
          <cell r="D223">
            <v>3</v>
          </cell>
          <cell r="Y223">
            <v>0.2</v>
          </cell>
          <cell r="AE223" t="str">
            <v>Clean</v>
          </cell>
          <cell r="AF223" t="str">
            <v>Match</v>
          </cell>
          <cell r="AG223" t="str">
            <v>Match</v>
          </cell>
        </row>
        <row r="224">
          <cell r="B224">
            <v>45776</v>
          </cell>
          <cell r="D224">
            <v>3</v>
          </cell>
          <cell r="Y224">
            <v>0</v>
          </cell>
          <cell r="AE224" t="str">
            <v>Clean</v>
          </cell>
          <cell r="AF224" t="str">
            <v>Match</v>
          </cell>
          <cell r="AG224" t="str">
            <v>Match</v>
          </cell>
        </row>
        <row r="225">
          <cell r="B225">
            <v>45707</v>
          </cell>
          <cell r="D225">
            <v>7</v>
          </cell>
          <cell r="Y225">
            <v>0.2</v>
          </cell>
          <cell r="AE225" t="str">
            <v>Clean</v>
          </cell>
          <cell r="AF225" t="str">
            <v>Match</v>
          </cell>
          <cell r="AG225" t="str">
            <v>Match</v>
          </cell>
        </row>
        <row r="226">
          <cell r="B226">
            <v>45932</v>
          </cell>
          <cell r="D226">
            <v>6</v>
          </cell>
          <cell r="Y226">
            <v>0.25</v>
          </cell>
          <cell r="AE226" t="str">
            <v>Warning</v>
          </cell>
          <cell r="AF226" t="str">
            <v>Match</v>
          </cell>
          <cell r="AG226" t="str">
            <v>Match</v>
          </cell>
        </row>
        <row r="227">
          <cell r="B227">
            <v>45537</v>
          </cell>
          <cell r="D227">
            <v>8</v>
          </cell>
          <cell r="Y227">
            <v>0.15</v>
          </cell>
          <cell r="AE227" t="str">
            <v>Clean</v>
          </cell>
          <cell r="AF227" t="str">
            <v>Match</v>
          </cell>
          <cell r="AG227" t="str">
            <v>Mismatch</v>
          </cell>
        </row>
        <row r="228">
          <cell r="B228">
            <v>45757</v>
          </cell>
          <cell r="D228">
            <v>5</v>
          </cell>
          <cell r="Y228">
            <v>0.1</v>
          </cell>
          <cell r="AE228" t="str">
            <v>Clean</v>
          </cell>
          <cell r="AF228" t="str">
            <v>Match</v>
          </cell>
          <cell r="AG228" t="str">
            <v>Match</v>
          </cell>
        </row>
        <row r="229">
          <cell r="B229">
            <v>45478</v>
          </cell>
          <cell r="D229">
            <v>7</v>
          </cell>
          <cell r="Y229">
            <v>0.15</v>
          </cell>
          <cell r="AE229" t="str">
            <v>Clean</v>
          </cell>
          <cell r="AF229" t="str">
            <v>Match</v>
          </cell>
          <cell r="AG229" t="str">
            <v>Match</v>
          </cell>
        </row>
        <row r="230">
          <cell r="B230">
            <v>45406</v>
          </cell>
          <cell r="D230">
            <v>4</v>
          </cell>
          <cell r="Y230">
            <v>0.15</v>
          </cell>
          <cell r="AE230" t="str">
            <v>Clean</v>
          </cell>
          <cell r="AF230" t="str">
            <v>Match</v>
          </cell>
          <cell r="AG230" t="str">
            <v>Match</v>
          </cell>
        </row>
        <row r="231">
          <cell r="B231">
            <v>45836</v>
          </cell>
          <cell r="D231">
            <v>6</v>
          </cell>
          <cell r="Y231">
            <v>0</v>
          </cell>
          <cell r="AE231" t="str">
            <v>Clean</v>
          </cell>
          <cell r="AF231" t="str">
            <v>Match</v>
          </cell>
          <cell r="AG231" t="str">
            <v>Match</v>
          </cell>
        </row>
        <row r="232">
          <cell r="B232">
            <v>45440</v>
          </cell>
          <cell r="D232">
            <v>6</v>
          </cell>
          <cell r="Y232">
            <v>0.1</v>
          </cell>
          <cell r="AE232" t="str">
            <v>Clean</v>
          </cell>
          <cell r="AF232" t="str">
            <v>Match</v>
          </cell>
          <cell r="AG232" t="str">
            <v>Match</v>
          </cell>
        </row>
        <row r="233">
          <cell r="B233">
            <v>45414</v>
          </cell>
          <cell r="D233">
            <v>0</v>
          </cell>
          <cell r="Y233">
            <v>0.25</v>
          </cell>
          <cell r="AE233" t="str">
            <v>Clean</v>
          </cell>
          <cell r="AF233" t="str">
            <v>Match</v>
          </cell>
          <cell r="AG233" t="str">
            <v>Match</v>
          </cell>
        </row>
        <row r="234">
          <cell r="B234">
            <v>45812</v>
          </cell>
          <cell r="D234">
            <v>6</v>
          </cell>
          <cell r="Y234">
            <v>0.25</v>
          </cell>
          <cell r="AE234" t="str">
            <v>Clean</v>
          </cell>
          <cell r="AF234" t="str">
            <v>Match</v>
          </cell>
          <cell r="AG234" t="str">
            <v>Match</v>
          </cell>
        </row>
        <row r="235">
          <cell r="B235">
            <v>45579</v>
          </cell>
          <cell r="D235">
            <v>0</v>
          </cell>
          <cell r="Y235">
            <v>0</v>
          </cell>
          <cell r="AE235" t="str">
            <v>Clean</v>
          </cell>
          <cell r="AF235" t="str">
            <v>Match</v>
          </cell>
          <cell r="AG235" t="str">
            <v>Match</v>
          </cell>
        </row>
        <row r="236">
          <cell r="B236">
            <v>45537</v>
          </cell>
          <cell r="D236">
            <v>1</v>
          </cell>
          <cell r="Y236">
            <v>0.1</v>
          </cell>
          <cell r="AE236" t="str">
            <v>Clean</v>
          </cell>
          <cell r="AF236" t="str">
            <v>Match</v>
          </cell>
          <cell r="AG236" t="str">
            <v>Match</v>
          </cell>
        </row>
        <row r="237">
          <cell r="B237">
            <v>45598</v>
          </cell>
          <cell r="D237">
            <v>1</v>
          </cell>
          <cell r="Y237">
            <v>0.05</v>
          </cell>
          <cell r="AE237" t="str">
            <v>Clean</v>
          </cell>
          <cell r="AF237" t="str">
            <v>Match</v>
          </cell>
          <cell r="AG237" t="str">
            <v>Match</v>
          </cell>
        </row>
        <row r="238">
          <cell r="B238">
            <v>45579</v>
          </cell>
          <cell r="D238">
            <v>7</v>
          </cell>
          <cell r="Y238">
            <v>0</v>
          </cell>
          <cell r="AE238" t="str">
            <v>Clean</v>
          </cell>
          <cell r="AF238" t="str">
            <v>Match</v>
          </cell>
          <cell r="AG238" t="str">
            <v>Match</v>
          </cell>
        </row>
        <row r="239">
          <cell r="B239">
            <v>45531</v>
          </cell>
          <cell r="D239">
            <v>0</v>
          </cell>
          <cell r="Y239">
            <v>0</v>
          </cell>
          <cell r="AE239" t="str">
            <v>Clean</v>
          </cell>
          <cell r="AF239" t="str">
            <v>Match</v>
          </cell>
          <cell r="AG239" t="str">
            <v>Match</v>
          </cell>
        </row>
        <row r="240">
          <cell r="B240">
            <v>45303</v>
          </cell>
          <cell r="D240">
            <v>5</v>
          </cell>
          <cell r="Y240">
            <v>0.55000000000000004</v>
          </cell>
          <cell r="AE240" t="str">
            <v>Clean</v>
          </cell>
          <cell r="AF240" t="str">
            <v>Mismatch</v>
          </cell>
          <cell r="AG240" t="str">
            <v>Mismatch</v>
          </cell>
        </row>
        <row r="241">
          <cell r="B241">
            <v>45556</v>
          </cell>
          <cell r="D241">
            <v>0</v>
          </cell>
          <cell r="Y241">
            <v>0.2</v>
          </cell>
          <cell r="AE241" t="str">
            <v>Clean</v>
          </cell>
          <cell r="AF241" t="str">
            <v>Match</v>
          </cell>
          <cell r="AG241" t="str">
            <v>Match</v>
          </cell>
        </row>
        <row r="242">
          <cell r="B242">
            <v>45643</v>
          </cell>
          <cell r="D242">
            <v>6</v>
          </cell>
          <cell r="Y242">
            <v>0</v>
          </cell>
          <cell r="AE242" t="str">
            <v>Clean</v>
          </cell>
          <cell r="AF242" t="str">
            <v>Match</v>
          </cell>
          <cell r="AG242" t="str">
            <v>Match</v>
          </cell>
        </row>
        <row r="243">
          <cell r="B243">
            <v>45844</v>
          </cell>
          <cell r="D243">
            <v>0</v>
          </cell>
          <cell r="Y243">
            <v>0.25</v>
          </cell>
          <cell r="AE243" t="str">
            <v>Clean</v>
          </cell>
          <cell r="AF243" t="str">
            <v>Match</v>
          </cell>
          <cell r="AG243" t="str">
            <v>Match</v>
          </cell>
        </row>
        <row r="244">
          <cell r="B244">
            <v>45695</v>
          </cell>
          <cell r="D244">
            <v>0</v>
          </cell>
          <cell r="Y244">
            <v>0.05</v>
          </cell>
          <cell r="AE244" t="str">
            <v>Clean</v>
          </cell>
          <cell r="AF244" t="str">
            <v>Match</v>
          </cell>
          <cell r="AG244" t="str">
            <v>Match</v>
          </cell>
        </row>
        <row r="245">
          <cell r="B245">
            <v>45867</v>
          </cell>
          <cell r="D245">
            <v>4</v>
          </cell>
          <cell r="Y245">
            <v>0.1</v>
          </cell>
          <cell r="AE245" t="str">
            <v>Clean</v>
          </cell>
          <cell r="AF245" t="str">
            <v>Match</v>
          </cell>
          <cell r="AG245" t="str">
            <v>Match</v>
          </cell>
        </row>
        <row r="246">
          <cell r="B246">
            <v>45527</v>
          </cell>
          <cell r="D246">
            <v>1</v>
          </cell>
          <cell r="Y246">
            <v>0</v>
          </cell>
          <cell r="AE246" t="str">
            <v>Clean</v>
          </cell>
          <cell r="AF246" t="str">
            <v>Match</v>
          </cell>
          <cell r="AG246" t="str">
            <v>Match</v>
          </cell>
        </row>
        <row r="247">
          <cell r="B247">
            <v>45583</v>
          </cell>
          <cell r="D247">
            <v>6</v>
          </cell>
          <cell r="Y247">
            <v>0</v>
          </cell>
          <cell r="AE247" t="str">
            <v>Clean</v>
          </cell>
          <cell r="AF247" t="str">
            <v>Match</v>
          </cell>
          <cell r="AG247" t="str">
            <v>Match</v>
          </cell>
        </row>
        <row r="248">
          <cell r="B248">
            <v>45416</v>
          </cell>
          <cell r="D248">
            <v>5</v>
          </cell>
          <cell r="Y248">
            <v>0.25</v>
          </cell>
          <cell r="AE248" t="str">
            <v>Clean</v>
          </cell>
          <cell r="AF248" t="str">
            <v>Match</v>
          </cell>
          <cell r="AG248" t="str">
            <v>Match</v>
          </cell>
        </row>
        <row r="249">
          <cell r="B249">
            <v>45498</v>
          </cell>
          <cell r="D249">
            <v>7</v>
          </cell>
          <cell r="Y249">
            <v>0.25</v>
          </cell>
          <cell r="AE249" t="str">
            <v>Clean</v>
          </cell>
          <cell r="AF249" t="str">
            <v>Match</v>
          </cell>
          <cell r="AG249" t="str">
            <v>Match</v>
          </cell>
        </row>
        <row r="250">
          <cell r="B250">
            <v>45445</v>
          </cell>
          <cell r="D250">
            <v>5</v>
          </cell>
          <cell r="Y250">
            <v>0.15</v>
          </cell>
          <cell r="AE250" t="str">
            <v>Clean</v>
          </cell>
          <cell r="AF250" t="str">
            <v>Match</v>
          </cell>
          <cell r="AG250" t="str">
            <v>Match</v>
          </cell>
        </row>
        <row r="251">
          <cell r="B251">
            <v>45870</v>
          </cell>
          <cell r="D251">
            <v>1</v>
          </cell>
          <cell r="Y251">
            <v>0.2</v>
          </cell>
          <cell r="AE251" t="str">
            <v>Clean</v>
          </cell>
          <cell r="AF251" t="str">
            <v>Match</v>
          </cell>
          <cell r="AG251" t="str">
            <v>Match</v>
          </cell>
        </row>
        <row r="252">
          <cell r="B252">
            <v>45343</v>
          </cell>
          <cell r="D252">
            <v>6</v>
          </cell>
          <cell r="Y252">
            <v>0.15</v>
          </cell>
          <cell r="AE252" t="str">
            <v>Clean</v>
          </cell>
          <cell r="AF252" t="str">
            <v>Match</v>
          </cell>
          <cell r="AG252" t="str">
            <v>Match</v>
          </cell>
        </row>
        <row r="253">
          <cell r="B253">
            <v>45753</v>
          </cell>
          <cell r="D253">
            <v>4</v>
          </cell>
          <cell r="Y253">
            <v>0</v>
          </cell>
          <cell r="AE253" t="str">
            <v>Clean</v>
          </cell>
          <cell r="AF253" t="str">
            <v>Match</v>
          </cell>
          <cell r="AG253" t="str">
            <v>Match</v>
          </cell>
        </row>
        <row r="254">
          <cell r="B254">
            <v>45833</v>
          </cell>
          <cell r="D254">
            <v>3</v>
          </cell>
          <cell r="Y254">
            <v>0.2</v>
          </cell>
          <cell r="AE254" t="str">
            <v>Clean</v>
          </cell>
          <cell r="AF254" t="str">
            <v>Match</v>
          </cell>
          <cell r="AG254" t="str">
            <v>Match</v>
          </cell>
        </row>
        <row r="255">
          <cell r="B255">
            <v>45547</v>
          </cell>
          <cell r="D255">
            <v>1</v>
          </cell>
          <cell r="Y255">
            <v>0.05</v>
          </cell>
          <cell r="AE255" t="str">
            <v>Clean</v>
          </cell>
          <cell r="AF255" t="str">
            <v>Match</v>
          </cell>
          <cell r="AG255" t="str">
            <v>Mismatch</v>
          </cell>
        </row>
        <row r="256">
          <cell r="B256">
            <v>45658</v>
          </cell>
          <cell r="D256">
            <v>2</v>
          </cell>
          <cell r="Y256">
            <v>0.2</v>
          </cell>
          <cell r="AE256" t="str">
            <v>Clean</v>
          </cell>
          <cell r="AF256" t="str">
            <v>Match</v>
          </cell>
          <cell r="AG256" t="str">
            <v>Match</v>
          </cell>
        </row>
        <row r="257">
          <cell r="B257">
            <v>45692</v>
          </cell>
          <cell r="D257">
            <v>6</v>
          </cell>
          <cell r="Y257">
            <v>0</v>
          </cell>
          <cell r="AE257" t="str">
            <v>Clean</v>
          </cell>
          <cell r="AF257" t="str">
            <v>Match</v>
          </cell>
          <cell r="AG257" t="str">
            <v>Match</v>
          </cell>
        </row>
        <row r="258">
          <cell r="B258">
            <v>45601</v>
          </cell>
          <cell r="D258">
            <v>-2</v>
          </cell>
          <cell r="Y258">
            <v>0.05</v>
          </cell>
          <cell r="AE258" t="str">
            <v>Invalid</v>
          </cell>
          <cell r="AF258" t="str">
            <v>Match</v>
          </cell>
          <cell r="AG258" t="str">
            <v>Match</v>
          </cell>
        </row>
        <row r="259">
          <cell r="B259">
            <v>45878</v>
          </cell>
          <cell r="D259">
            <v>3</v>
          </cell>
          <cell r="Y259">
            <v>0</v>
          </cell>
          <cell r="AE259" t="str">
            <v>Clean</v>
          </cell>
          <cell r="AF259" t="str">
            <v>Match</v>
          </cell>
          <cell r="AG259" t="str">
            <v>Match</v>
          </cell>
        </row>
        <row r="260">
          <cell r="B260">
            <v>45656</v>
          </cell>
          <cell r="D260">
            <v>5</v>
          </cell>
          <cell r="Y260">
            <v>0.25</v>
          </cell>
          <cell r="AE260" t="str">
            <v>Clean</v>
          </cell>
          <cell r="AF260" t="str">
            <v>Match</v>
          </cell>
          <cell r="AG260" t="str">
            <v>Match</v>
          </cell>
        </row>
        <row r="261">
          <cell r="B261">
            <v>45464</v>
          </cell>
          <cell r="D261">
            <v>8</v>
          </cell>
          <cell r="Y261">
            <v>0.2</v>
          </cell>
          <cell r="AE261" t="str">
            <v>Clean</v>
          </cell>
          <cell r="AF261" t="str">
            <v>Match</v>
          </cell>
          <cell r="AG261" t="str">
            <v>Match</v>
          </cell>
        </row>
        <row r="262">
          <cell r="B262">
            <v>45923</v>
          </cell>
          <cell r="D262">
            <v>4</v>
          </cell>
          <cell r="Y262">
            <v>0.25</v>
          </cell>
          <cell r="AE262" t="str">
            <v>Clean</v>
          </cell>
          <cell r="AF262" t="str">
            <v>Match</v>
          </cell>
          <cell r="AG262" t="str">
            <v>Match</v>
          </cell>
        </row>
        <row r="263">
          <cell r="B263">
            <v>45826</v>
          </cell>
          <cell r="D263">
            <v>6</v>
          </cell>
          <cell r="Y263">
            <v>0.2</v>
          </cell>
          <cell r="AE263" t="str">
            <v>Clean</v>
          </cell>
          <cell r="AF263" t="str">
            <v>Match</v>
          </cell>
          <cell r="AG263" t="str">
            <v>Match</v>
          </cell>
        </row>
        <row r="264">
          <cell r="B264">
            <v>45803</v>
          </cell>
          <cell r="D264">
            <v>6</v>
          </cell>
          <cell r="Y264">
            <v>0</v>
          </cell>
          <cell r="AE264" t="str">
            <v>Clean</v>
          </cell>
          <cell r="AF264" t="str">
            <v>Match</v>
          </cell>
          <cell r="AG264" t="str">
            <v>Match</v>
          </cell>
        </row>
        <row r="265">
          <cell r="B265">
            <v>45875</v>
          </cell>
          <cell r="D265">
            <v>4</v>
          </cell>
          <cell r="Y265">
            <v>0.1</v>
          </cell>
          <cell r="AE265" t="str">
            <v>Clean</v>
          </cell>
          <cell r="AF265" t="str">
            <v>Match</v>
          </cell>
          <cell r="AG265" t="str">
            <v>Match</v>
          </cell>
        </row>
        <row r="266">
          <cell r="B266">
            <v>45428</v>
          </cell>
          <cell r="D266">
            <v>5</v>
          </cell>
          <cell r="Y266">
            <v>0</v>
          </cell>
          <cell r="AE266" t="str">
            <v>Clean</v>
          </cell>
          <cell r="AF266" t="str">
            <v>Match</v>
          </cell>
          <cell r="AG266" t="str">
            <v>Match</v>
          </cell>
        </row>
        <row r="267">
          <cell r="B267">
            <v>45610</v>
          </cell>
          <cell r="D267">
            <v>8</v>
          </cell>
          <cell r="Y267">
            <v>0.15</v>
          </cell>
          <cell r="AE267" t="str">
            <v>Clean</v>
          </cell>
          <cell r="AF267" t="str">
            <v>Match</v>
          </cell>
          <cell r="AG267" t="str">
            <v>Match</v>
          </cell>
        </row>
        <row r="268">
          <cell r="B268">
            <v>45780</v>
          </cell>
          <cell r="D268">
            <v>7</v>
          </cell>
          <cell r="Y268">
            <v>0</v>
          </cell>
          <cell r="AE268" t="str">
            <v>Clean</v>
          </cell>
          <cell r="AF268" t="str">
            <v>Match</v>
          </cell>
          <cell r="AG268" t="str">
            <v>Match</v>
          </cell>
        </row>
        <row r="269">
          <cell r="B269">
            <v>45805</v>
          </cell>
          <cell r="D269">
            <v>7</v>
          </cell>
          <cell r="Y269">
            <v>0.25</v>
          </cell>
          <cell r="AE269" t="str">
            <v>Clean</v>
          </cell>
          <cell r="AF269" t="str">
            <v>Match</v>
          </cell>
          <cell r="AG269" t="str">
            <v>Match</v>
          </cell>
        </row>
        <row r="270">
          <cell r="B270">
            <v>45886</v>
          </cell>
          <cell r="D270">
            <v>0</v>
          </cell>
          <cell r="Y270">
            <v>0.25</v>
          </cell>
          <cell r="AE270" t="str">
            <v>Clean</v>
          </cell>
          <cell r="AF270" t="str">
            <v>Match</v>
          </cell>
          <cell r="AG270" t="str">
            <v>Match</v>
          </cell>
        </row>
        <row r="271">
          <cell r="B271">
            <v>45698</v>
          </cell>
          <cell r="D271">
            <v>2</v>
          </cell>
          <cell r="Y271">
            <v>0</v>
          </cell>
          <cell r="AE271" t="str">
            <v>Clean</v>
          </cell>
          <cell r="AF271" t="str">
            <v>Match</v>
          </cell>
          <cell r="AG271" t="str">
            <v>Match</v>
          </cell>
        </row>
        <row r="272">
          <cell r="B272">
            <v>45303</v>
          </cell>
          <cell r="D272">
            <v>1</v>
          </cell>
          <cell r="Y272">
            <v>0</v>
          </cell>
          <cell r="AE272" t="str">
            <v>Clean</v>
          </cell>
          <cell r="AF272" t="str">
            <v>Match</v>
          </cell>
          <cell r="AG272" t="str">
            <v>Match</v>
          </cell>
        </row>
        <row r="273">
          <cell r="B273">
            <v>45647</v>
          </cell>
          <cell r="D273">
            <v>4</v>
          </cell>
          <cell r="Y273">
            <v>0</v>
          </cell>
          <cell r="AE273" t="str">
            <v>Clean</v>
          </cell>
          <cell r="AF273" t="str">
            <v>Match</v>
          </cell>
          <cell r="AG273" t="str">
            <v>Match</v>
          </cell>
        </row>
        <row r="274">
          <cell r="B274">
            <v>45522</v>
          </cell>
          <cell r="D274">
            <v>6</v>
          </cell>
          <cell r="Y274">
            <v>0.1</v>
          </cell>
          <cell r="AE274" t="str">
            <v>Warning</v>
          </cell>
          <cell r="AF274" t="str">
            <v>Match</v>
          </cell>
          <cell r="AG274" t="str">
            <v>Mismatch</v>
          </cell>
        </row>
        <row r="275">
          <cell r="B275">
            <v>45701</v>
          </cell>
          <cell r="D275">
            <v>0</v>
          </cell>
          <cell r="Y275">
            <v>0</v>
          </cell>
          <cell r="AE275" t="str">
            <v>Clean</v>
          </cell>
          <cell r="AF275" t="str">
            <v>Match</v>
          </cell>
          <cell r="AG275" t="str">
            <v>Match</v>
          </cell>
        </row>
        <row r="276">
          <cell r="B276">
            <v>45389</v>
          </cell>
          <cell r="D276">
            <v>7</v>
          </cell>
          <cell r="Y276">
            <v>0.15</v>
          </cell>
          <cell r="AE276" t="str">
            <v>Clean</v>
          </cell>
          <cell r="AF276" t="str">
            <v>Match</v>
          </cell>
          <cell r="AG276" t="str">
            <v>Match</v>
          </cell>
        </row>
        <row r="277">
          <cell r="B277">
            <v>45337</v>
          </cell>
          <cell r="D277">
            <v>7</v>
          </cell>
          <cell r="Y277">
            <v>0</v>
          </cell>
          <cell r="AE277" t="str">
            <v>Clean</v>
          </cell>
          <cell r="AF277" t="str">
            <v>Match</v>
          </cell>
          <cell r="AG277" t="str">
            <v>Match</v>
          </cell>
        </row>
        <row r="278">
          <cell r="B278">
            <v>45313</v>
          </cell>
          <cell r="D278">
            <v>1</v>
          </cell>
          <cell r="Y278">
            <v>-0.14000000000000001</v>
          </cell>
          <cell r="AE278" t="str">
            <v>Invalid</v>
          </cell>
          <cell r="AF278" t="str">
            <v>Mismatch</v>
          </cell>
          <cell r="AG278" t="str">
            <v>Mismatch</v>
          </cell>
        </row>
        <row r="279">
          <cell r="B279">
            <v>45812</v>
          </cell>
          <cell r="D279">
            <v>0</v>
          </cell>
          <cell r="Y279">
            <v>0.15</v>
          </cell>
          <cell r="AE279" t="str">
            <v>Clean</v>
          </cell>
          <cell r="AF279" t="str">
            <v>Mismatch</v>
          </cell>
          <cell r="AG279" t="str">
            <v>Match</v>
          </cell>
        </row>
        <row r="280">
          <cell r="B280">
            <v>45723</v>
          </cell>
          <cell r="D280">
            <v>7</v>
          </cell>
          <cell r="Y280">
            <v>0.05</v>
          </cell>
          <cell r="AE280" t="str">
            <v>Clean</v>
          </cell>
          <cell r="AF280" t="str">
            <v>Match</v>
          </cell>
          <cell r="AG280" t="str">
            <v>Match</v>
          </cell>
        </row>
        <row r="281">
          <cell r="B281">
            <v>45391</v>
          </cell>
          <cell r="D281">
            <v>1</v>
          </cell>
          <cell r="Y281">
            <v>0.05</v>
          </cell>
          <cell r="AE281" t="str">
            <v>Clean</v>
          </cell>
          <cell r="AF281" t="str">
            <v>Match</v>
          </cell>
          <cell r="AG281" t="str">
            <v>Match</v>
          </cell>
        </row>
        <row r="282">
          <cell r="B282">
            <v>45649</v>
          </cell>
          <cell r="D282">
            <v>3</v>
          </cell>
          <cell r="Y282">
            <v>0</v>
          </cell>
          <cell r="AE282" t="str">
            <v>Clean</v>
          </cell>
          <cell r="AF282" t="str">
            <v>Match</v>
          </cell>
          <cell r="AG282" t="str">
            <v>Match</v>
          </cell>
        </row>
        <row r="283">
          <cell r="B283">
            <v>45863</v>
          </cell>
          <cell r="D283">
            <v>2</v>
          </cell>
          <cell r="Y283">
            <v>0.2</v>
          </cell>
          <cell r="AE283" t="str">
            <v>Clean</v>
          </cell>
          <cell r="AF283" t="str">
            <v>Match</v>
          </cell>
          <cell r="AG283" t="str">
            <v>Match</v>
          </cell>
        </row>
        <row r="284">
          <cell r="B284">
            <v>45566</v>
          </cell>
          <cell r="D284">
            <v>1</v>
          </cell>
          <cell r="Y284">
            <v>0</v>
          </cell>
          <cell r="AE284" t="str">
            <v>Clean</v>
          </cell>
          <cell r="AF284" t="str">
            <v>Match</v>
          </cell>
          <cell r="AG284" t="str">
            <v>Match</v>
          </cell>
        </row>
        <row r="285">
          <cell r="B285">
            <v>45729</v>
          </cell>
          <cell r="D285">
            <v>7</v>
          </cell>
          <cell r="Y285">
            <v>0</v>
          </cell>
          <cell r="AE285" t="str">
            <v>Clean</v>
          </cell>
          <cell r="AF285" t="str">
            <v>Match</v>
          </cell>
          <cell r="AG285" t="str">
            <v>Match</v>
          </cell>
        </row>
        <row r="286">
          <cell r="B286">
            <v>45634</v>
          </cell>
          <cell r="D286">
            <v>6</v>
          </cell>
          <cell r="Y286">
            <v>0</v>
          </cell>
          <cell r="AE286" t="str">
            <v>Clean</v>
          </cell>
          <cell r="AF286" t="str">
            <v>Match</v>
          </cell>
          <cell r="AG286" t="str">
            <v>Match</v>
          </cell>
        </row>
        <row r="287">
          <cell r="B287">
            <v>45884</v>
          </cell>
          <cell r="D287">
            <v>5</v>
          </cell>
          <cell r="Y287">
            <v>0</v>
          </cell>
          <cell r="AE287" t="str">
            <v>Clean</v>
          </cell>
          <cell r="AF287" t="str">
            <v>Match</v>
          </cell>
          <cell r="AG287" t="str">
            <v>Match</v>
          </cell>
        </row>
        <row r="288">
          <cell r="B288">
            <v>45350</v>
          </cell>
          <cell r="D288">
            <v>3</v>
          </cell>
          <cell r="Y288">
            <v>0.1</v>
          </cell>
          <cell r="AE288" t="str">
            <v>Clean</v>
          </cell>
          <cell r="AF288" t="str">
            <v>Match</v>
          </cell>
          <cell r="AG288" t="str">
            <v>Match</v>
          </cell>
        </row>
        <row r="289">
          <cell r="B289">
            <v>45540</v>
          </cell>
          <cell r="D289">
            <v>2</v>
          </cell>
          <cell r="Y289">
            <v>0.15</v>
          </cell>
          <cell r="AE289" t="str">
            <v>Clean</v>
          </cell>
          <cell r="AF289" t="str">
            <v>Match</v>
          </cell>
          <cell r="AG289" t="str">
            <v>Match</v>
          </cell>
        </row>
        <row r="290">
          <cell r="B290">
            <v>45467</v>
          </cell>
          <cell r="D290">
            <v>0</v>
          </cell>
          <cell r="Y290">
            <v>0.15</v>
          </cell>
          <cell r="AE290" t="str">
            <v>Clean</v>
          </cell>
          <cell r="AF290" t="str">
            <v>Match</v>
          </cell>
          <cell r="AG290" t="str">
            <v>Match</v>
          </cell>
        </row>
        <row r="291">
          <cell r="B291">
            <v>45827</v>
          </cell>
          <cell r="D291">
            <v>8</v>
          </cell>
          <cell r="Y291">
            <v>0.05</v>
          </cell>
          <cell r="AE291" t="str">
            <v>Clean</v>
          </cell>
          <cell r="AF291" t="str">
            <v>Match</v>
          </cell>
          <cell r="AG291" t="str">
            <v>Match</v>
          </cell>
        </row>
        <row r="292">
          <cell r="B292">
            <v>45891</v>
          </cell>
          <cell r="D292">
            <v>4</v>
          </cell>
          <cell r="Y292">
            <v>0.1</v>
          </cell>
          <cell r="AE292" t="str">
            <v>Clean</v>
          </cell>
          <cell r="AF292" t="str">
            <v>Match</v>
          </cell>
          <cell r="AG292" t="str">
            <v>Match</v>
          </cell>
        </row>
        <row r="293">
          <cell r="B293">
            <v>45387</v>
          </cell>
          <cell r="D293">
            <v>5</v>
          </cell>
          <cell r="Y293">
            <v>0.25</v>
          </cell>
          <cell r="AE293" t="str">
            <v>Clean</v>
          </cell>
          <cell r="AF293" t="str">
            <v>Match</v>
          </cell>
          <cell r="AG293" t="str">
            <v>Match</v>
          </cell>
        </row>
        <row r="294">
          <cell r="B294">
            <v>45716</v>
          </cell>
          <cell r="D294">
            <v>3</v>
          </cell>
          <cell r="Y294">
            <v>0</v>
          </cell>
          <cell r="AE294" t="str">
            <v>Clean</v>
          </cell>
          <cell r="AF294" t="str">
            <v>Match</v>
          </cell>
          <cell r="AG294" t="str">
            <v>Match</v>
          </cell>
        </row>
        <row r="295">
          <cell r="B295">
            <v>45358</v>
          </cell>
          <cell r="D295">
            <v>4</v>
          </cell>
          <cell r="Y295">
            <v>0.65</v>
          </cell>
          <cell r="AE295" t="str">
            <v>Clean</v>
          </cell>
          <cell r="AF295" t="str">
            <v>Mismatch</v>
          </cell>
          <cell r="AG295" t="str">
            <v>Mismatch</v>
          </cell>
        </row>
        <row r="296">
          <cell r="B296">
            <v>45854</v>
          </cell>
          <cell r="D296">
            <v>6</v>
          </cell>
          <cell r="Y296">
            <v>0.25</v>
          </cell>
          <cell r="AE296" t="str">
            <v>Clean</v>
          </cell>
          <cell r="AF296" t="str">
            <v>Match</v>
          </cell>
          <cell r="AG296" t="str">
            <v>Match</v>
          </cell>
        </row>
        <row r="297">
          <cell r="B297">
            <v>45833</v>
          </cell>
          <cell r="D297">
            <v>3</v>
          </cell>
          <cell r="Y297">
            <v>0.1</v>
          </cell>
          <cell r="AE297" t="str">
            <v>Clean</v>
          </cell>
          <cell r="AF297" t="str">
            <v>Match</v>
          </cell>
          <cell r="AG297" t="str">
            <v>Match</v>
          </cell>
        </row>
        <row r="298">
          <cell r="B298">
            <v>45801</v>
          </cell>
          <cell r="D298">
            <v>2</v>
          </cell>
          <cell r="Y298">
            <v>0.15</v>
          </cell>
          <cell r="AE298" t="str">
            <v>Clean</v>
          </cell>
          <cell r="AF298" t="str">
            <v>Match</v>
          </cell>
          <cell r="AG298" t="str">
            <v>Match</v>
          </cell>
        </row>
        <row r="299">
          <cell r="B299">
            <v>45594</v>
          </cell>
          <cell r="D299">
            <v>8</v>
          </cell>
          <cell r="Y299">
            <v>0.15</v>
          </cell>
          <cell r="AE299" t="str">
            <v>Clean</v>
          </cell>
          <cell r="AF299" t="str">
            <v>Match</v>
          </cell>
          <cell r="AG299" t="str">
            <v>Match</v>
          </cell>
        </row>
        <row r="300">
          <cell r="B300">
            <v>45680</v>
          </cell>
          <cell r="D300">
            <v>3</v>
          </cell>
          <cell r="Y300">
            <v>0.2</v>
          </cell>
          <cell r="AE300" t="str">
            <v>Clean</v>
          </cell>
          <cell r="AF300" t="str">
            <v>Match</v>
          </cell>
          <cell r="AG300" t="str">
            <v>Match</v>
          </cell>
        </row>
        <row r="301">
          <cell r="B301">
            <v>45602</v>
          </cell>
          <cell r="D301">
            <v>6</v>
          </cell>
          <cell r="Y301">
            <v>0.1</v>
          </cell>
          <cell r="AE301" t="str">
            <v>Clean</v>
          </cell>
          <cell r="AF301" t="str">
            <v>Match</v>
          </cell>
          <cell r="AG301" t="str">
            <v>Match</v>
          </cell>
        </row>
        <row r="302">
          <cell r="B302">
            <v>45397</v>
          </cell>
          <cell r="D302">
            <v>8</v>
          </cell>
          <cell r="Y302">
            <v>0.1</v>
          </cell>
          <cell r="AE302" t="str">
            <v>Clean</v>
          </cell>
          <cell r="AF302" t="str">
            <v>Match</v>
          </cell>
          <cell r="AG302" t="str">
            <v>Match</v>
          </cell>
        </row>
        <row r="303">
          <cell r="B303">
            <v>45805</v>
          </cell>
          <cell r="D303">
            <v>4</v>
          </cell>
          <cell r="Y303">
            <v>0.05</v>
          </cell>
          <cell r="AE303" t="str">
            <v>Clean</v>
          </cell>
          <cell r="AF303" t="str">
            <v>Match</v>
          </cell>
          <cell r="AG303" t="str">
            <v>Match</v>
          </cell>
        </row>
        <row r="304">
          <cell r="B304">
            <v>45812</v>
          </cell>
          <cell r="D304">
            <v>8</v>
          </cell>
          <cell r="Y304">
            <v>0.25</v>
          </cell>
          <cell r="AE304" t="str">
            <v>Clean</v>
          </cell>
          <cell r="AF304" t="str">
            <v>Match</v>
          </cell>
          <cell r="AG304" t="str">
            <v>Match</v>
          </cell>
        </row>
        <row r="305">
          <cell r="B305">
            <v>45466</v>
          </cell>
          <cell r="D305">
            <v>5</v>
          </cell>
          <cell r="Y305">
            <v>0.1</v>
          </cell>
          <cell r="AE305" t="str">
            <v>Clean</v>
          </cell>
          <cell r="AF305" t="str">
            <v>Match</v>
          </cell>
          <cell r="AG305" t="str">
            <v>Match</v>
          </cell>
        </row>
        <row r="306">
          <cell r="B306">
            <v>45357</v>
          </cell>
          <cell r="D306">
            <v>7</v>
          </cell>
          <cell r="Y306">
            <v>0.1</v>
          </cell>
          <cell r="AE306" t="str">
            <v>Clean</v>
          </cell>
          <cell r="AF306" t="str">
            <v>Match</v>
          </cell>
          <cell r="AG306" t="str">
            <v>Match</v>
          </cell>
        </row>
        <row r="307">
          <cell r="B307">
            <v>45413</v>
          </cell>
          <cell r="D307">
            <v>1</v>
          </cell>
          <cell r="Y307">
            <v>0.55000000000000004</v>
          </cell>
          <cell r="AE307" t="str">
            <v>Clean</v>
          </cell>
          <cell r="AF307" t="str">
            <v>Mismatch</v>
          </cell>
          <cell r="AG307" t="str">
            <v>Mismatch</v>
          </cell>
        </row>
        <row r="308">
          <cell r="B308">
            <v>45708</v>
          </cell>
          <cell r="D308">
            <v>3</v>
          </cell>
          <cell r="Y308">
            <v>0</v>
          </cell>
          <cell r="AE308" t="str">
            <v>Clean</v>
          </cell>
          <cell r="AF308" t="str">
            <v>Match</v>
          </cell>
          <cell r="AG308" t="str">
            <v>Match</v>
          </cell>
        </row>
        <row r="309">
          <cell r="B309">
            <v>45850</v>
          </cell>
          <cell r="D309">
            <v>7</v>
          </cell>
          <cell r="Y309">
            <v>0.2</v>
          </cell>
          <cell r="AE309" t="str">
            <v>Clean</v>
          </cell>
          <cell r="AF309" t="str">
            <v>Match</v>
          </cell>
          <cell r="AG309" t="str">
            <v>Match</v>
          </cell>
        </row>
        <row r="310">
          <cell r="B310">
            <v>45821</v>
          </cell>
          <cell r="D310">
            <v>6</v>
          </cell>
          <cell r="Y310">
            <v>0.2</v>
          </cell>
          <cell r="AE310" t="str">
            <v>Clean</v>
          </cell>
          <cell r="AF310" t="str">
            <v>Match</v>
          </cell>
          <cell r="AG310" t="str">
            <v>Match</v>
          </cell>
        </row>
        <row r="311">
          <cell r="B311">
            <v>45493</v>
          </cell>
          <cell r="D311">
            <v>2</v>
          </cell>
          <cell r="Y311">
            <v>0.1</v>
          </cell>
          <cell r="AE311" t="str">
            <v>Clean</v>
          </cell>
          <cell r="AF311" t="str">
            <v>Match</v>
          </cell>
          <cell r="AG311" t="str">
            <v>Match</v>
          </cell>
        </row>
        <row r="312">
          <cell r="B312">
            <v>45477</v>
          </cell>
          <cell r="D312">
            <v>4</v>
          </cell>
          <cell r="Y312">
            <v>0</v>
          </cell>
          <cell r="AE312" t="str">
            <v>Clean</v>
          </cell>
          <cell r="AF312" t="str">
            <v>Match</v>
          </cell>
          <cell r="AG312" t="str">
            <v>Match</v>
          </cell>
        </row>
        <row r="313">
          <cell r="B313">
            <v>45409</v>
          </cell>
          <cell r="D313">
            <v>5</v>
          </cell>
          <cell r="Y313">
            <v>0.1</v>
          </cell>
          <cell r="AE313" t="str">
            <v>Clean</v>
          </cell>
          <cell r="AF313" t="str">
            <v>Match</v>
          </cell>
          <cell r="AG313" t="str">
            <v>Match</v>
          </cell>
        </row>
        <row r="314">
          <cell r="B314">
            <v>45504</v>
          </cell>
          <cell r="D314">
            <v>4</v>
          </cell>
          <cell r="Y314">
            <v>0</v>
          </cell>
          <cell r="AE314" t="str">
            <v>Clean</v>
          </cell>
          <cell r="AF314" t="str">
            <v>Mismatch</v>
          </cell>
          <cell r="AG314" t="str">
            <v>Mismatch</v>
          </cell>
        </row>
        <row r="315">
          <cell r="B315">
            <v>45807</v>
          </cell>
          <cell r="D315">
            <v>1</v>
          </cell>
          <cell r="Y315">
            <v>0.25</v>
          </cell>
          <cell r="AE315" t="str">
            <v>Clean</v>
          </cell>
          <cell r="AF315" t="str">
            <v>Match</v>
          </cell>
          <cell r="AG315" t="str">
            <v>Match</v>
          </cell>
        </row>
        <row r="316">
          <cell r="B316">
            <v>45795</v>
          </cell>
          <cell r="D316">
            <v>2</v>
          </cell>
          <cell r="Y316">
            <v>0.15</v>
          </cell>
          <cell r="AE316" t="str">
            <v>Warning</v>
          </cell>
          <cell r="AF316" t="str">
            <v>Match</v>
          </cell>
          <cell r="AG316" t="str">
            <v>Match</v>
          </cell>
        </row>
        <row r="317">
          <cell r="B317">
            <v>45475</v>
          </cell>
          <cell r="D317">
            <v>6</v>
          </cell>
          <cell r="Y317">
            <v>0.05</v>
          </cell>
          <cell r="AE317" t="str">
            <v>Clean</v>
          </cell>
          <cell r="AF317" t="str">
            <v>Match</v>
          </cell>
          <cell r="AG317" t="str">
            <v>Match</v>
          </cell>
        </row>
        <row r="318">
          <cell r="B318">
            <v>45338</v>
          </cell>
          <cell r="D318">
            <v>2</v>
          </cell>
          <cell r="Y318">
            <v>0.2</v>
          </cell>
          <cell r="AE318" t="str">
            <v>Clean</v>
          </cell>
          <cell r="AF318" t="str">
            <v>Match</v>
          </cell>
          <cell r="AG318" t="str">
            <v>Match</v>
          </cell>
        </row>
        <row r="319">
          <cell r="B319">
            <v>45898</v>
          </cell>
          <cell r="D319">
            <v>6</v>
          </cell>
          <cell r="Y319">
            <v>0.15</v>
          </cell>
          <cell r="AE319" t="str">
            <v>Clean</v>
          </cell>
          <cell r="AF319" t="str">
            <v>Match</v>
          </cell>
          <cell r="AG319" t="str">
            <v>Match</v>
          </cell>
        </row>
        <row r="320">
          <cell r="B320">
            <v>45407</v>
          </cell>
          <cell r="D320">
            <v>5</v>
          </cell>
          <cell r="Y320">
            <v>0.1</v>
          </cell>
          <cell r="AE320" t="str">
            <v>Clean</v>
          </cell>
          <cell r="AF320" t="str">
            <v>Match</v>
          </cell>
          <cell r="AG320" t="str">
            <v>Match</v>
          </cell>
        </row>
        <row r="321">
          <cell r="B321">
            <v>45525</v>
          </cell>
          <cell r="D321">
            <v>4</v>
          </cell>
          <cell r="Y321">
            <v>0</v>
          </cell>
          <cell r="AE321" t="str">
            <v>Clean</v>
          </cell>
          <cell r="AF321" t="str">
            <v>Match</v>
          </cell>
          <cell r="AG321" t="str">
            <v>Match</v>
          </cell>
        </row>
        <row r="322">
          <cell r="B322">
            <v>45630</v>
          </cell>
          <cell r="D322">
            <v>2</v>
          </cell>
          <cell r="Y322">
            <v>0.7</v>
          </cell>
          <cell r="AE322" t="str">
            <v>Clean</v>
          </cell>
          <cell r="AF322" t="str">
            <v>Mismatch</v>
          </cell>
          <cell r="AG322" t="str">
            <v>Mismatch</v>
          </cell>
        </row>
        <row r="323">
          <cell r="B323">
            <v>45466</v>
          </cell>
          <cell r="D323">
            <v>7</v>
          </cell>
          <cell r="Y323">
            <v>0</v>
          </cell>
          <cell r="AE323" t="str">
            <v>Clean</v>
          </cell>
          <cell r="AF323" t="str">
            <v>Match</v>
          </cell>
          <cell r="AG323" t="str">
            <v>Match</v>
          </cell>
        </row>
        <row r="324">
          <cell r="B324">
            <v>45608</v>
          </cell>
          <cell r="D324">
            <v>0</v>
          </cell>
          <cell r="Y324">
            <v>0.15</v>
          </cell>
          <cell r="AE324" t="str">
            <v>Clean</v>
          </cell>
          <cell r="AF324" t="str">
            <v>Match</v>
          </cell>
          <cell r="AG324" t="str">
            <v>Match</v>
          </cell>
        </row>
        <row r="325">
          <cell r="B325">
            <v>45347</v>
          </cell>
          <cell r="D325">
            <v>4</v>
          </cell>
          <cell r="Y325">
            <v>0.15</v>
          </cell>
          <cell r="AE325" t="str">
            <v>Clean</v>
          </cell>
          <cell r="AF325" t="str">
            <v>Match</v>
          </cell>
          <cell r="AG325" t="str">
            <v>Match</v>
          </cell>
        </row>
        <row r="326">
          <cell r="B326">
            <v>45869</v>
          </cell>
          <cell r="D326">
            <v>2</v>
          </cell>
          <cell r="Y326">
            <v>0.15</v>
          </cell>
          <cell r="AE326" t="str">
            <v>Clean</v>
          </cell>
          <cell r="AF326" t="str">
            <v>Match</v>
          </cell>
          <cell r="AG326" t="str">
            <v>Match</v>
          </cell>
        </row>
        <row r="327">
          <cell r="B327">
            <v>45916</v>
          </cell>
          <cell r="D327">
            <v>6</v>
          </cell>
          <cell r="Y327">
            <v>0.15</v>
          </cell>
          <cell r="AE327" t="str">
            <v>Clean</v>
          </cell>
          <cell r="AF327" t="str">
            <v>Match</v>
          </cell>
          <cell r="AG327" t="str">
            <v>Match</v>
          </cell>
        </row>
        <row r="328">
          <cell r="B328">
            <v>45860</v>
          </cell>
          <cell r="D328">
            <v>0</v>
          </cell>
          <cell r="Y328">
            <v>0.05</v>
          </cell>
          <cell r="AE328" t="str">
            <v>Clean</v>
          </cell>
          <cell r="AF328" t="str">
            <v>Match</v>
          </cell>
          <cell r="AG328" t="str">
            <v>Match</v>
          </cell>
        </row>
        <row r="329">
          <cell r="B329">
            <v>45497</v>
          </cell>
          <cell r="D329">
            <v>3</v>
          </cell>
          <cell r="Y329">
            <v>0.2</v>
          </cell>
          <cell r="AE329" t="str">
            <v>Clean</v>
          </cell>
          <cell r="AF329" t="str">
            <v>Match</v>
          </cell>
          <cell r="AG329" t="str">
            <v>Match</v>
          </cell>
        </row>
        <row r="330">
          <cell r="B330">
            <v>45806</v>
          </cell>
          <cell r="D330">
            <v>6</v>
          </cell>
          <cell r="Y330">
            <v>0</v>
          </cell>
          <cell r="AE330" t="str">
            <v>Clean</v>
          </cell>
          <cell r="AF330" t="str">
            <v>Match</v>
          </cell>
          <cell r="AG330" t="str">
            <v>Match</v>
          </cell>
        </row>
        <row r="331">
          <cell r="B331">
            <v>45789</v>
          </cell>
          <cell r="D331">
            <v>6</v>
          </cell>
          <cell r="Y331">
            <v>0.05</v>
          </cell>
          <cell r="AE331" t="str">
            <v>Clean</v>
          </cell>
          <cell r="AF331" t="str">
            <v>Match</v>
          </cell>
          <cell r="AG331" t="str">
            <v>Match</v>
          </cell>
        </row>
        <row r="332">
          <cell r="B332">
            <v>45428</v>
          </cell>
          <cell r="D332">
            <v>8</v>
          </cell>
          <cell r="Y332">
            <v>0</v>
          </cell>
          <cell r="AE332" t="str">
            <v>Clean</v>
          </cell>
          <cell r="AF332" t="str">
            <v>Match</v>
          </cell>
          <cell r="AG332" t="str">
            <v>Match</v>
          </cell>
        </row>
        <row r="333">
          <cell r="B333">
            <v>45630</v>
          </cell>
          <cell r="D333">
            <v>2</v>
          </cell>
          <cell r="Y333">
            <v>0</v>
          </cell>
          <cell r="AE333" t="str">
            <v>Warning</v>
          </cell>
          <cell r="AF333" t="str">
            <v>Match</v>
          </cell>
          <cell r="AG333" t="str">
            <v>Match</v>
          </cell>
        </row>
        <row r="334">
          <cell r="B334">
            <v>45804</v>
          </cell>
          <cell r="D334">
            <v>1</v>
          </cell>
          <cell r="Y334">
            <v>0</v>
          </cell>
          <cell r="AE334" t="str">
            <v>Clean</v>
          </cell>
          <cell r="AF334" t="str">
            <v>Match</v>
          </cell>
          <cell r="AG334" t="str">
            <v>Match</v>
          </cell>
        </row>
        <row r="335">
          <cell r="B335">
            <v>45830</v>
          </cell>
          <cell r="D335">
            <v>5</v>
          </cell>
          <cell r="Y335">
            <v>0</v>
          </cell>
          <cell r="AE335" t="str">
            <v>Clean</v>
          </cell>
          <cell r="AF335" t="str">
            <v>Match</v>
          </cell>
          <cell r="AG335" t="str">
            <v>Match</v>
          </cell>
        </row>
        <row r="336">
          <cell r="B336">
            <v>45547</v>
          </cell>
          <cell r="D336">
            <v>5</v>
          </cell>
          <cell r="Y336">
            <v>0.25</v>
          </cell>
          <cell r="AE336" t="str">
            <v>Clean</v>
          </cell>
          <cell r="AF336" t="str">
            <v>Match</v>
          </cell>
          <cell r="AG336" t="str">
            <v>Match</v>
          </cell>
        </row>
        <row r="337">
          <cell r="B337">
            <v>45824</v>
          </cell>
          <cell r="D337">
            <v>2</v>
          </cell>
          <cell r="Y337">
            <v>0.1</v>
          </cell>
          <cell r="AE337" t="str">
            <v>Warning</v>
          </cell>
          <cell r="AF337" t="str">
            <v>Match</v>
          </cell>
          <cell r="AG337" t="str">
            <v>Match</v>
          </cell>
        </row>
        <row r="338">
          <cell r="B338">
            <v>45368</v>
          </cell>
          <cell r="D338">
            <v>4</v>
          </cell>
          <cell r="Y338">
            <v>0</v>
          </cell>
          <cell r="AE338" t="str">
            <v>Clean</v>
          </cell>
          <cell r="AF338" t="str">
            <v>Match</v>
          </cell>
          <cell r="AG338" t="str">
            <v>Match</v>
          </cell>
        </row>
        <row r="339">
          <cell r="B339">
            <v>45516</v>
          </cell>
          <cell r="D339">
            <v>6</v>
          </cell>
          <cell r="Y339">
            <v>0</v>
          </cell>
          <cell r="AE339" t="str">
            <v>Clean</v>
          </cell>
          <cell r="AF339" t="str">
            <v>Match</v>
          </cell>
          <cell r="AG339" t="str">
            <v>Mismatch</v>
          </cell>
        </row>
        <row r="340">
          <cell r="B340">
            <v>45634</v>
          </cell>
          <cell r="D340">
            <v>0</v>
          </cell>
          <cell r="Y340">
            <v>0.25</v>
          </cell>
          <cell r="AE340" t="str">
            <v>Clean</v>
          </cell>
          <cell r="AF340" t="str">
            <v>Match</v>
          </cell>
          <cell r="AG340" t="str">
            <v>Match</v>
          </cell>
        </row>
        <row r="341">
          <cell r="B341">
            <v>45708</v>
          </cell>
          <cell r="D341">
            <v>2</v>
          </cell>
          <cell r="Y341">
            <v>0.2</v>
          </cell>
          <cell r="AE341" t="str">
            <v>Clean</v>
          </cell>
          <cell r="AF341" t="str">
            <v>Match</v>
          </cell>
          <cell r="AG341" t="str">
            <v>Match</v>
          </cell>
        </row>
        <row r="342">
          <cell r="B342">
            <v>45312</v>
          </cell>
          <cell r="D342">
            <v>8</v>
          </cell>
          <cell r="Y342">
            <v>0.1</v>
          </cell>
          <cell r="AE342" t="str">
            <v>Clean</v>
          </cell>
          <cell r="AF342" t="str">
            <v>Match</v>
          </cell>
          <cell r="AG342" t="str">
            <v>Match</v>
          </cell>
        </row>
        <row r="343">
          <cell r="B343">
            <v>45908</v>
          </cell>
          <cell r="D343">
            <v>1</v>
          </cell>
          <cell r="Y343">
            <v>0.05</v>
          </cell>
          <cell r="AE343" t="str">
            <v>Clean</v>
          </cell>
          <cell r="AF343" t="str">
            <v>Match</v>
          </cell>
          <cell r="AG343" t="str">
            <v>Match</v>
          </cell>
        </row>
        <row r="344">
          <cell r="B344">
            <v>45862</v>
          </cell>
          <cell r="D344">
            <v>8</v>
          </cell>
          <cell r="Y344">
            <v>0</v>
          </cell>
          <cell r="AE344" t="str">
            <v>Clean</v>
          </cell>
          <cell r="AF344" t="str">
            <v>Match</v>
          </cell>
          <cell r="AG344" t="str">
            <v>Match</v>
          </cell>
        </row>
        <row r="345">
          <cell r="B345">
            <v>45933</v>
          </cell>
          <cell r="D345">
            <v>5</v>
          </cell>
          <cell r="Y345">
            <v>0.1</v>
          </cell>
          <cell r="AE345" t="str">
            <v>Clean</v>
          </cell>
          <cell r="AF345" t="str">
            <v>Match</v>
          </cell>
          <cell r="AG345" t="str">
            <v>Match</v>
          </cell>
        </row>
        <row r="346">
          <cell r="B346">
            <v>45362</v>
          </cell>
          <cell r="D346">
            <v>0</v>
          </cell>
          <cell r="Y346">
            <v>0</v>
          </cell>
          <cell r="AE346" t="str">
            <v>Clean</v>
          </cell>
          <cell r="AF346" t="str">
            <v>Match</v>
          </cell>
          <cell r="AG346" t="str">
            <v>Match</v>
          </cell>
        </row>
        <row r="347">
          <cell r="B347">
            <v>45549</v>
          </cell>
          <cell r="D347">
            <v>8</v>
          </cell>
          <cell r="Y347">
            <v>0</v>
          </cell>
          <cell r="AE347" t="str">
            <v>Clean</v>
          </cell>
          <cell r="AF347" t="str">
            <v>Match</v>
          </cell>
          <cell r="AG347" t="str">
            <v>Match</v>
          </cell>
        </row>
        <row r="348">
          <cell r="B348">
            <v>45860</v>
          </cell>
          <cell r="D348">
            <v>6</v>
          </cell>
          <cell r="Y348">
            <v>0.2</v>
          </cell>
          <cell r="AE348" t="str">
            <v>Clean</v>
          </cell>
          <cell r="AF348" t="str">
            <v>Match</v>
          </cell>
          <cell r="AG348" t="str">
            <v>Match</v>
          </cell>
        </row>
        <row r="349">
          <cell r="B349">
            <v>45627</v>
          </cell>
          <cell r="D349">
            <v>7</v>
          </cell>
          <cell r="Y349">
            <v>0.2</v>
          </cell>
          <cell r="AE349" t="str">
            <v>Clean</v>
          </cell>
          <cell r="AF349" t="str">
            <v>Match</v>
          </cell>
          <cell r="AG349" t="str">
            <v>Match</v>
          </cell>
        </row>
        <row r="350">
          <cell r="B350">
            <v>45445</v>
          </cell>
          <cell r="D350">
            <v>5</v>
          </cell>
          <cell r="Y350">
            <v>0.25</v>
          </cell>
          <cell r="AE350" t="str">
            <v>Clean</v>
          </cell>
          <cell r="AF350" t="str">
            <v>Match</v>
          </cell>
          <cell r="AG350" t="str">
            <v>Match</v>
          </cell>
        </row>
        <row r="351">
          <cell r="B351">
            <v>45927</v>
          </cell>
          <cell r="D351">
            <v>2</v>
          </cell>
          <cell r="Y351">
            <v>0.25</v>
          </cell>
          <cell r="AE351" t="str">
            <v>Clean</v>
          </cell>
          <cell r="AF351" t="str">
            <v>Match</v>
          </cell>
          <cell r="AG351" t="str">
            <v>Mismatch</v>
          </cell>
        </row>
        <row r="352">
          <cell r="B352">
            <v>45298</v>
          </cell>
          <cell r="D352">
            <v>7</v>
          </cell>
          <cell r="Y352">
            <v>0.1</v>
          </cell>
          <cell r="AE352" t="str">
            <v>Clean</v>
          </cell>
          <cell r="AF352" t="str">
            <v>Match</v>
          </cell>
          <cell r="AG352" t="str">
            <v>Match</v>
          </cell>
        </row>
        <row r="353">
          <cell r="B353">
            <v>45800</v>
          </cell>
          <cell r="D353">
            <v>4</v>
          </cell>
          <cell r="Y353">
            <v>0.25</v>
          </cell>
          <cell r="AE353" t="str">
            <v>Clean</v>
          </cell>
          <cell r="AF353" t="str">
            <v>Match</v>
          </cell>
          <cell r="AG353" t="str">
            <v>Match</v>
          </cell>
        </row>
        <row r="354">
          <cell r="B354">
            <v>45884</v>
          </cell>
          <cell r="D354">
            <v>2</v>
          </cell>
          <cell r="Y354">
            <v>0.25</v>
          </cell>
          <cell r="AE354" t="str">
            <v>Clean</v>
          </cell>
          <cell r="AF354" t="str">
            <v>Match</v>
          </cell>
          <cell r="AG354" t="str">
            <v>Match</v>
          </cell>
        </row>
        <row r="355">
          <cell r="B355">
            <v>45709</v>
          </cell>
          <cell r="D355">
            <v>6</v>
          </cell>
          <cell r="Y355">
            <v>0.2</v>
          </cell>
          <cell r="AE355" t="str">
            <v>Clean</v>
          </cell>
          <cell r="AF355" t="str">
            <v>Match</v>
          </cell>
          <cell r="AG355" t="str">
            <v>Match</v>
          </cell>
        </row>
        <row r="356">
          <cell r="B356">
            <v>45653</v>
          </cell>
          <cell r="D356">
            <v>4</v>
          </cell>
          <cell r="Y356">
            <v>-0.06</v>
          </cell>
          <cell r="AE356" t="str">
            <v>Invalid</v>
          </cell>
          <cell r="AF356" t="str">
            <v>Mismatch</v>
          </cell>
          <cell r="AG356" t="str">
            <v>Mismatch</v>
          </cell>
        </row>
        <row r="357">
          <cell r="B357">
            <v>45424</v>
          </cell>
          <cell r="D357">
            <v>-3</v>
          </cell>
          <cell r="Y357">
            <v>0</v>
          </cell>
          <cell r="AE357" t="str">
            <v>Invalid</v>
          </cell>
          <cell r="AF357" t="str">
            <v>Match</v>
          </cell>
          <cell r="AG357" t="str">
            <v>Match</v>
          </cell>
        </row>
        <row r="358">
          <cell r="B358">
            <v>45835</v>
          </cell>
          <cell r="D358">
            <v>2</v>
          </cell>
          <cell r="Y358">
            <v>0.2</v>
          </cell>
          <cell r="AE358" t="str">
            <v>Clean</v>
          </cell>
          <cell r="AF358" t="str">
            <v>Match</v>
          </cell>
          <cell r="AG358" t="str">
            <v>Match</v>
          </cell>
        </row>
        <row r="359">
          <cell r="B359">
            <v>45678</v>
          </cell>
          <cell r="D359">
            <v>8</v>
          </cell>
          <cell r="Y359">
            <v>0</v>
          </cell>
          <cell r="AE359" t="str">
            <v>Clean</v>
          </cell>
          <cell r="AF359" t="str">
            <v>Match</v>
          </cell>
          <cell r="AG359" t="str">
            <v>Match</v>
          </cell>
        </row>
        <row r="360">
          <cell r="B360">
            <v>45878</v>
          </cell>
          <cell r="D360">
            <v>-2</v>
          </cell>
          <cell r="Y360">
            <v>0.05</v>
          </cell>
          <cell r="AE360" t="str">
            <v>Invalid</v>
          </cell>
          <cell r="AF360" t="str">
            <v>Match</v>
          </cell>
          <cell r="AG360" t="str">
            <v>Match</v>
          </cell>
        </row>
        <row r="361">
          <cell r="B361">
            <v>45525</v>
          </cell>
          <cell r="D361">
            <v>1</v>
          </cell>
          <cell r="Y361">
            <v>0.1</v>
          </cell>
          <cell r="AE361" t="str">
            <v>Clean</v>
          </cell>
          <cell r="AF361" t="str">
            <v>Match</v>
          </cell>
          <cell r="AG361" t="str">
            <v>Match</v>
          </cell>
        </row>
        <row r="362">
          <cell r="B362">
            <v>45460</v>
          </cell>
          <cell r="D362">
            <v>3</v>
          </cell>
          <cell r="Y362">
            <v>0.2</v>
          </cell>
          <cell r="AE362" t="str">
            <v>Clean</v>
          </cell>
          <cell r="AF362" t="str">
            <v>Match</v>
          </cell>
          <cell r="AG362" t="str">
            <v>Match</v>
          </cell>
        </row>
        <row r="363">
          <cell r="B363">
            <v>45748</v>
          </cell>
          <cell r="D363">
            <v>1</v>
          </cell>
          <cell r="Y363">
            <v>0.05</v>
          </cell>
          <cell r="AE363" t="str">
            <v>Clean</v>
          </cell>
          <cell r="AF363" t="str">
            <v>Match</v>
          </cell>
          <cell r="AG363" t="str">
            <v>Match</v>
          </cell>
        </row>
        <row r="364">
          <cell r="B364">
            <v>45527</v>
          </cell>
          <cell r="D364">
            <v>2</v>
          </cell>
          <cell r="Y364">
            <v>0.05</v>
          </cell>
          <cell r="AE364" t="str">
            <v>Clean</v>
          </cell>
          <cell r="AF364" t="str">
            <v>Match</v>
          </cell>
          <cell r="AG364" t="str">
            <v>Match</v>
          </cell>
        </row>
        <row r="365">
          <cell r="B365">
            <v>45845</v>
          </cell>
          <cell r="D365">
            <v>5</v>
          </cell>
          <cell r="Y365">
            <v>0.25</v>
          </cell>
          <cell r="AE365" t="str">
            <v>Clean</v>
          </cell>
          <cell r="AF365" t="str">
            <v>Match</v>
          </cell>
          <cell r="AG365" t="str">
            <v>Match</v>
          </cell>
        </row>
        <row r="366">
          <cell r="B366">
            <v>45737</v>
          </cell>
          <cell r="D366">
            <v>3</v>
          </cell>
          <cell r="Y366">
            <v>0</v>
          </cell>
          <cell r="AE366" t="str">
            <v>Clean</v>
          </cell>
          <cell r="AF366" t="str">
            <v>Match</v>
          </cell>
          <cell r="AG366" t="str">
            <v>Match</v>
          </cell>
        </row>
        <row r="367">
          <cell r="B367">
            <v>45458</v>
          </cell>
          <cell r="D367">
            <v>6</v>
          </cell>
          <cell r="Y367">
            <v>0</v>
          </cell>
          <cell r="AE367" t="str">
            <v>Clean</v>
          </cell>
          <cell r="AF367" t="str">
            <v>Mismatch</v>
          </cell>
          <cell r="AG367" t="str">
            <v>Mismatch</v>
          </cell>
        </row>
        <row r="368">
          <cell r="B368">
            <v>45673</v>
          </cell>
          <cell r="D368">
            <v>6</v>
          </cell>
          <cell r="Y368">
            <v>0</v>
          </cell>
          <cell r="AE368" t="str">
            <v>Clean</v>
          </cell>
          <cell r="AF368" t="str">
            <v>Match</v>
          </cell>
          <cell r="AG368" t="str">
            <v>Match</v>
          </cell>
        </row>
        <row r="369">
          <cell r="B369">
            <v>45366</v>
          </cell>
          <cell r="D369">
            <v>1</v>
          </cell>
          <cell r="Y369">
            <v>0.15</v>
          </cell>
          <cell r="AE369" t="str">
            <v>Clean</v>
          </cell>
          <cell r="AF369" t="str">
            <v>Match</v>
          </cell>
          <cell r="AG369" t="str">
            <v>Match</v>
          </cell>
        </row>
        <row r="370">
          <cell r="B370">
            <v>45844</v>
          </cell>
          <cell r="D370">
            <v>0</v>
          </cell>
          <cell r="Y370">
            <v>0.05</v>
          </cell>
          <cell r="AE370" t="str">
            <v>Clean</v>
          </cell>
          <cell r="AF370" t="str">
            <v>Match</v>
          </cell>
          <cell r="AG370" t="str">
            <v>Match</v>
          </cell>
        </row>
        <row r="371">
          <cell r="B371">
            <v>45680</v>
          </cell>
          <cell r="D371">
            <v>7</v>
          </cell>
          <cell r="Y371">
            <v>0.15</v>
          </cell>
          <cell r="AE371" t="str">
            <v>Clean</v>
          </cell>
          <cell r="AF371" t="str">
            <v>Match</v>
          </cell>
          <cell r="AG371" t="str">
            <v>Match</v>
          </cell>
        </row>
        <row r="372">
          <cell r="B372">
            <v>45519</v>
          </cell>
          <cell r="D372">
            <v>6</v>
          </cell>
          <cell r="Y372">
            <v>0.2</v>
          </cell>
          <cell r="AE372" t="str">
            <v>Clean</v>
          </cell>
          <cell r="AF372" t="str">
            <v>Match</v>
          </cell>
          <cell r="AG372" t="str">
            <v>Match</v>
          </cell>
        </row>
        <row r="373">
          <cell r="B373">
            <v>45313</v>
          </cell>
          <cell r="D373">
            <v>2</v>
          </cell>
          <cell r="Y373">
            <v>0</v>
          </cell>
          <cell r="AE373" t="str">
            <v>Clean</v>
          </cell>
          <cell r="AF373" t="str">
            <v>Mismatch</v>
          </cell>
          <cell r="AG373" t="str">
            <v>Mismatch</v>
          </cell>
        </row>
        <row r="374">
          <cell r="B374">
            <v>45885</v>
          </cell>
          <cell r="D374">
            <v>2</v>
          </cell>
          <cell r="Y374">
            <v>0</v>
          </cell>
          <cell r="AE374" t="str">
            <v>Clean</v>
          </cell>
          <cell r="AF374" t="str">
            <v>Match</v>
          </cell>
          <cell r="AG374" t="str">
            <v>Match</v>
          </cell>
        </row>
        <row r="375">
          <cell r="B375">
            <v>45760</v>
          </cell>
          <cell r="D375">
            <v>0</v>
          </cell>
          <cell r="Y375">
            <v>0</v>
          </cell>
          <cell r="AE375" t="str">
            <v>Warning</v>
          </cell>
          <cell r="AF375" t="str">
            <v>Match</v>
          </cell>
          <cell r="AG375" t="str">
            <v>Match</v>
          </cell>
        </row>
        <row r="376">
          <cell r="B376">
            <v>45715</v>
          </cell>
          <cell r="D376">
            <v>1</v>
          </cell>
          <cell r="Y376">
            <v>0</v>
          </cell>
          <cell r="AE376" t="str">
            <v>Clean</v>
          </cell>
          <cell r="AF376" t="str">
            <v>Match</v>
          </cell>
          <cell r="AG376" t="str">
            <v>Match</v>
          </cell>
        </row>
        <row r="377">
          <cell r="B377">
            <v>45657</v>
          </cell>
          <cell r="D377">
            <v>4</v>
          </cell>
          <cell r="Y377">
            <v>0.25</v>
          </cell>
          <cell r="AE377" t="str">
            <v>Clean</v>
          </cell>
          <cell r="AF377" t="str">
            <v>Match</v>
          </cell>
          <cell r="AG377" t="str">
            <v>Match</v>
          </cell>
        </row>
        <row r="378">
          <cell r="B378">
            <v>45655</v>
          </cell>
          <cell r="D378">
            <v>2</v>
          </cell>
          <cell r="Y378">
            <v>0.2</v>
          </cell>
          <cell r="AE378" t="str">
            <v>Clean</v>
          </cell>
          <cell r="AF378" t="str">
            <v>Match</v>
          </cell>
          <cell r="AG378" t="str">
            <v>Match</v>
          </cell>
        </row>
        <row r="379">
          <cell r="B379">
            <v>45801</v>
          </cell>
          <cell r="D379">
            <v>6</v>
          </cell>
          <cell r="Y379">
            <v>0</v>
          </cell>
          <cell r="AE379" t="str">
            <v>Clean</v>
          </cell>
          <cell r="AF379" t="str">
            <v>Match</v>
          </cell>
          <cell r="AG379" t="str">
            <v>Match</v>
          </cell>
        </row>
        <row r="380">
          <cell r="B380">
            <v>45799</v>
          </cell>
          <cell r="D380">
            <v>0</v>
          </cell>
          <cell r="Y380">
            <v>0</v>
          </cell>
          <cell r="AE380" t="str">
            <v>Clean</v>
          </cell>
          <cell r="AF380" t="str">
            <v>Match</v>
          </cell>
          <cell r="AG380" t="str">
            <v>Match</v>
          </cell>
        </row>
        <row r="381">
          <cell r="B381">
            <v>45554</v>
          </cell>
          <cell r="D381">
            <v>4</v>
          </cell>
          <cell r="Y381">
            <v>0</v>
          </cell>
          <cell r="AE381" t="str">
            <v>Clean</v>
          </cell>
          <cell r="AF381" t="str">
            <v>Match</v>
          </cell>
          <cell r="AG381" t="str">
            <v>Match</v>
          </cell>
        </row>
        <row r="382">
          <cell r="B382">
            <v>45389</v>
          </cell>
          <cell r="D382">
            <v>7</v>
          </cell>
          <cell r="Y382">
            <v>0.25</v>
          </cell>
          <cell r="AE382" t="str">
            <v>Clean</v>
          </cell>
          <cell r="AF382" t="str">
            <v>Match</v>
          </cell>
          <cell r="AG382" t="str">
            <v>Match</v>
          </cell>
        </row>
        <row r="383">
          <cell r="B383">
            <v>45919</v>
          </cell>
          <cell r="D383">
            <v>4</v>
          </cell>
          <cell r="Y383">
            <v>0.05</v>
          </cell>
          <cell r="AE383" t="str">
            <v>Clean</v>
          </cell>
          <cell r="AF383" t="str">
            <v>Match</v>
          </cell>
          <cell r="AG383" t="str">
            <v>Match</v>
          </cell>
        </row>
        <row r="384">
          <cell r="B384">
            <v>45720</v>
          </cell>
          <cell r="D384">
            <v>4</v>
          </cell>
          <cell r="Y384">
            <v>0.2</v>
          </cell>
          <cell r="AE384" t="str">
            <v>Clean</v>
          </cell>
          <cell r="AF384" t="str">
            <v>Match</v>
          </cell>
          <cell r="AG384" t="str">
            <v>Match</v>
          </cell>
        </row>
        <row r="385">
          <cell r="B385">
            <v>45836</v>
          </cell>
          <cell r="D385">
            <v>7</v>
          </cell>
          <cell r="Y385">
            <v>0</v>
          </cell>
          <cell r="AE385" t="str">
            <v>Clean</v>
          </cell>
          <cell r="AF385" t="str">
            <v>Match</v>
          </cell>
          <cell r="AG385" t="str">
            <v>Match</v>
          </cell>
        </row>
        <row r="386">
          <cell r="B386">
            <v>45366</v>
          </cell>
          <cell r="D386">
            <v>5</v>
          </cell>
          <cell r="Y386">
            <v>0.25</v>
          </cell>
          <cell r="AE386" t="str">
            <v>Clean</v>
          </cell>
          <cell r="AF386" t="str">
            <v>Match</v>
          </cell>
          <cell r="AG386" t="str">
            <v>Match</v>
          </cell>
        </row>
        <row r="387">
          <cell r="B387">
            <v>45832</v>
          </cell>
          <cell r="D387">
            <v>6</v>
          </cell>
          <cell r="Y387">
            <v>0.1</v>
          </cell>
          <cell r="AE387" t="str">
            <v>Clean</v>
          </cell>
          <cell r="AF387" t="str">
            <v>Match</v>
          </cell>
          <cell r="AG387" t="str">
            <v>Match</v>
          </cell>
        </row>
        <row r="388">
          <cell r="B388">
            <v>45700</v>
          </cell>
          <cell r="D388">
            <v>2</v>
          </cell>
          <cell r="Y388">
            <v>0.1</v>
          </cell>
          <cell r="AE388" t="str">
            <v>Clean</v>
          </cell>
          <cell r="AF388" t="str">
            <v>Match</v>
          </cell>
          <cell r="AG388" t="str">
            <v>Match</v>
          </cell>
        </row>
        <row r="389">
          <cell r="B389">
            <v>45879</v>
          </cell>
          <cell r="D389">
            <v>3</v>
          </cell>
          <cell r="Y389">
            <v>0</v>
          </cell>
          <cell r="AE389" t="str">
            <v>Clean</v>
          </cell>
          <cell r="AF389" t="str">
            <v>Match</v>
          </cell>
          <cell r="AG389" t="str">
            <v>Match</v>
          </cell>
        </row>
        <row r="390">
          <cell r="B390">
            <v>45425</v>
          </cell>
          <cell r="D390">
            <v>5</v>
          </cell>
          <cell r="Y390">
            <v>0</v>
          </cell>
          <cell r="AE390" t="str">
            <v>Clean</v>
          </cell>
          <cell r="AF390" t="str">
            <v>Match</v>
          </cell>
          <cell r="AG390" t="str">
            <v>Mismatch</v>
          </cell>
        </row>
        <row r="391">
          <cell r="B391">
            <v>45387</v>
          </cell>
          <cell r="D391">
            <v>8</v>
          </cell>
          <cell r="Y391">
            <v>0.2</v>
          </cell>
          <cell r="AE391" t="str">
            <v>Clean</v>
          </cell>
          <cell r="AF391" t="str">
            <v>Match</v>
          </cell>
          <cell r="AG391" t="str">
            <v>Match</v>
          </cell>
        </row>
        <row r="392">
          <cell r="B392">
            <v>45602</v>
          </cell>
          <cell r="D392">
            <v>5</v>
          </cell>
          <cell r="Y392">
            <v>0.2</v>
          </cell>
          <cell r="AE392" t="str">
            <v>Clean</v>
          </cell>
          <cell r="AF392" t="str">
            <v>Match</v>
          </cell>
          <cell r="AG392" t="str">
            <v>Match</v>
          </cell>
        </row>
        <row r="393">
          <cell r="B393">
            <v>45702</v>
          </cell>
          <cell r="D393">
            <v>0</v>
          </cell>
          <cell r="Y393">
            <v>0</v>
          </cell>
          <cell r="AE393" t="str">
            <v>Clean</v>
          </cell>
          <cell r="AF393" t="str">
            <v>Match</v>
          </cell>
          <cell r="AG393" t="str">
            <v>Match</v>
          </cell>
        </row>
        <row r="394">
          <cell r="B394">
            <v>45341</v>
          </cell>
          <cell r="D394">
            <v>3</v>
          </cell>
          <cell r="Y394">
            <v>0</v>
          </cell>
          <cell r="AE394" t="str">
            <v>Clean</v>
          </cell>
          <cell r="AF394" t="str">
            <v>Match</v>
          </cell>
          <cell r="AG394" t="str">
            <v>Match</v>
          </cell>
        </row>
        <row r="395">
          <cell r="B395">
            <v>45527</v>
          </cell>
          <cell r="D395">
            <v>6</v>
          </cell>
          <cell r="Y395">
            <v>0.05</v>
          </cell>
          <cell r="AE395" t="str">
            <v>Clean</v>
          </cell>
          <cell r="AF395" t="str">
            <v>Match</v>
          </cell>
          <cell r="AG395" t="str">
            <v>Match</v>
          </cell>
        </row>
        <row r="396">
          <cell r="B396">
            <v>45385</v>
          </cell>
          <cell r="D396">
            <v>1</v>
          </cell>
          <cell r="Y396">
            <v>0</v>
          </cell>
          <cell r="AE396" t="str">
            <v>Clean</v>
          </cell>
          <cell r="AF396" t="str">
            <v>Match</v>
          </cell>
          <cell r="AG396" t="str">
            <v>Match</v>
          </cell>
        </row>
        <row r="397">
          <cell r="B397">
            <v>45449</v>
          </cell>
          <cell r="D397">
            <v>1</v>
          </cell>
          <cell r="Y397">
            <v>0.05</v>
          </cell>
          <cell r="AE397" t="str">
            <v>Clean</v>
          </cell>
          <cell r="AF397" t="str">
            <v>Match</v>
          </cell>
          <cell r="AG397" t="str">
            <v>Match</v>
          </cell>
        </row>
        <row r="398">
          <cell r="B398">
            <v>45761</v>
          </cell>
          <cell r="D398">
            <v>8</v>
          </cell>
          <cell r="Y398">
            <v>0.05</v>
          </cell>
          <cell r="AE398" t="str">
            <v>Clean</v>
          </cell>
          <cell r="AF398" t="str">
            <v>Match</v>
          </cell>
          <cell r="AG398" t="str">
            <v>Match</v>
          </cell>
        </row>
        <row r="399">
          <cell r="B399">
            <v>45817</v>
          </cell>
          <cell r="D399">
            <v>1</v>
          </cell>
          <cell r="Y399">
            <v>0</v>
          </cell>
          <cell r="AE399" t="str">
            <v>Clean</v>
          </cell>
          <cell r="AF399" t="str">
            <v>Match</v>
          </cell>
          <cell r="AG399" t="str">
            <v>Match</v>
          </cell>
        </row>
        <row r="400">
          <cell r="B400">
            <v>45492</v>
          </cell>
          <cell r="D400">
            <v>7</v>
          </cell>
          <cell r="Y400">
            <v>0.2</v>
          </cell>
          <cell r="AE400" t="str">
            <v>Clean</v>
          </cell>
          <cell r="AF400" t="str">
            <v>Match</v>
          </cell>
          <cell r="AG400" t="str">
            <v>Match</v>
          </cell>
        </row>
        <row r="401">
          <cell r="B401">
            <v>45771</v>
          </cell>
          <cell r="D401">
            <v>5</v>
          </cell>
          <cell r="Y401">
            <v>0.25</v>
          </cell>
          <cell r="AE401" t="str">
            <v>Clean</v>
          </cell>
          <cell r="AF401" t="str">
            <v>Match</v>
          </cell>
          <cell r="AG401" t="str">
            <v>Match</v>
          </cell>
        </row>
        <row r="402">
          <cell r="B402">
            <v>45814</v>
          </cell>
          <cell r="D402">
            <v>5</v>
          </cell>
          <cell r="Y402">
            <v>-0.1</v>
          </cell>
          <cell r="AE402" t="str">
            <v>Invalid</v>
          </cell>
          <cell r="AF402" t="str">
            <v>Mismatch</v>
          </cell>
          <cell r="AG402" t="str">
            <v>Mismatch</v>
          </cell>
        </row>
        <row r="403">
          <cell r="B403">
            <v>45725</v>
          </cell>
          <cell r="D403">
            <v>7</v>
          </cell>
          <cell r="Y403">
            <v>0</v>
          </cell>
          <cell r="AE403" t="str">
            <v>Clean</v>
          </cell>
          <cell r="AF403" t="str">
            <v>Match</v>
          </cell>
          <cell r="AG403" t="str">
            <v>Match</v>
          </cell>
        </row>
        <row r="404">
          <cell r="B404">
            <v>45373</v>
          </cell>
          <cell r="D404">
            <v>0</v>
          </cell>
          <cell r="Y404">
            <v>0</v>
          </cell>
          <cell r="AE404" t="str">
            <v>Clean</v>
          </cell>
          <cell r="AF404" t="str">
            <v>Match</v>
          </cell>
          <cell r="AG404" t="str">
            <v>Match</v>
          </cell>
        </row>
        <row r="405">
          <cell r="B405">
            <v>45565</v>
          </cell>
          <cell r="D405">
            <v>4</v>
          </cell>
          <cell r="Y405">
            <v>0.05</v>
          </cell>
          <cell r="AE405" t="str">
            <v>Clean</v>
          </cell>
          <cell r="AF405" t="str">
            <v>Match</v>
          </cell>
          <cell r="AG405" t="str">
            <v>Match</v>
          </cell>
        </row>
        <row r="406">
          <cell r="B406">
            <v>45318</v>
          </cell>
          <cell r="D406">
            <v>7</v>
          </cell>
          <cell r="Y406">
            <v>0</v>
          </cell>
          <cell r="AE406" t="str">
            <v>Clean</v>
          </cell>
          <cell r="AF406" t="str">
            <v>Match</v>
          </cell>
          <cell r="AG406" t="str">
            <v>Match</v>
          </cell>
        </row>
        <row r="407">
          <cell r="B407">
            <v>45558</v>
          </cell>
          <cell r="D407">
            <v>1</v>
          </cell>
          <cell r="Y407">
            <v>0.1</v>
          </cell>
          <cell r="AE407" t="str">
            <v>Clean</v>
          </cell>
          <cell r="AF407" t="str">
            <v>Match</v>
          </cell>
          <cell r="AG407" t="str">
            <v>Match</v>
          </cell>
        </row>
        <row r="408">
          <cell r="B408">
            <v>45713</v>
          </cell>
          <cell r="D408">
            <v>0</v>
          </cell>
          <cell r="Y408">
            <v>0.25</v>
          </cell>
          <cell r="AE408" t="str">
            <v>Clean</v>
          </cell>
          <cell r="AF408" t="str">
            <v>Match</v>
          </cell>
          <cell r="AG408" t="str">
            <v>Match</v>
          </cell>
        </row>
        <row r="409">
          <cell r="B409">
            <v>45424</v>
          </cell>
          <cell r="D409">
            <v>1</v>
          </cell>
          <cell r="Y409">
            <v>0</v>
          </cell>
          <cell r="AE409" t="str">
            <v>Clean</v>
          </cell>
          <cell r="AF409" t="str">
            <v>Match</v>
          </cell>
          <cell r="AG409" t="str">
            <v>Match</v>
          </cell>
        </row>
        <row r="410">
          <cell r="B410">
            <v>45870</v>
          </cell>
          <cell r="D410">
            <v>2</v>
          </cell>
          <cell r="Y410">
            <v>0</v>
          </cell>
          <cell r="AE410" t="str">
            <v>Clean</v>
          </cell>
          <cell r="AF410" t="str">
            <v>Match</v>
          </cell>
          <cell r="AG410" t="str">
            <v>Match</v>
          </cell>
        </row>
        <row r="411">
          <cell r="B411">
            <v>45701</v>
          </cell>
          <cell r="D411">
            <v>2</v>
          </cell>
          <cell r="Y411">
            <v>0.25</v>
          </cell>
          <cell r="AE411" t="str">
            <v>Clean</v>
          </cell>
          <cell r="AF411" t="str">
            <v>Match</v>
          </cell>
          <cell r="AG411" t="str">
            <v>Match</v>
          </cell>
        </row>
        <row r="412">
          <cell r="B412">
            <v>45394</v>
          </cell>
          <cell r="D412">
            <v>8</v>
          </cell>
          <cell r="Y412">
            <v>0.2</v>
          </cell>
          <cell r="AE412" t="str">
            <v>Clean</v>
          </cell>
          <cell r="AF412" t="str">
            <v>Match</v>
          </cell>
          <cell r="AG412" t="str">
            <v>Match</v>
          </cell>
        </row>
        <row r="413">
          <cell r="B413">
            <v>45892</v>
          </cell>
          <cell r="D413">
            <v>5</v>
          </cell>
          <cell r="Y413">
            <v>0.2</v>
          </cell>
          <cell r="AE413" t="str">
            <v>Clean</v>
          </cell>
          <cell r="AF413" t="str">
            <v>Match</v>
          </cell>
          <cell r="AG413" t="str">
            <v>Match</v>
          </cell>
        </row>
        <row r="414">
          <cell r="B414">
            <v>45313</v>
          </cell>
          <cell r="D414">
            <v>8</v>
          </cell>
          <cell r="Y414">
            <v>0.25</v>
          </cell>
          <cell r="AE414" t="str">
            <v>Clean</v>
          </cell>
          <cell r="AF414" t="str">
            <v>Match</v>
          </cell>
          <cell r="AG414" t="str">
            <v>Match</v>
          </cell>
        </row>
        <row r="415">
          <cell r="B415">
            <v>45882</v>
          </cell>
          <cell r="D415">
            <v>4</v>
          </cell>
          <cell r="Y415">
            <v>0</v>
          </cell>
          <cell r="AE415" t="str">
            <v>Clean</v>
          </cell>
          <cell r="AF415" t="str">
            <v>Match</v>
          </cell>
          <cell r="AG415" t="str">
            <v>Match</v>
          </cell>
        </row>
        <row r="416">
          <cell r="B416">
            <v>45533</v>
          </cell>
          <cell r="D416">
            <v>1</v>
          </cell>
          <cell r="Y416">
            <v>0.05</v>
          </cell>
          <cell r="AE416" t="str">
            <v>Clean</v>
          </cell>
          <cell r="AF416" t="str">
            <v>Match</v>
          </cell>
          <cell r="AG416" t="str">
            <v>Match</v>
          </cell>
        </row>
        <row r="417">
          <cell r="B417">
            <v>45316</v>
          </cell>
          <cell r="D417">
            <v>2</v>
          </cell>
          <cell r="Y417">
            <v>0.15</v>
          </cell>
          <cell r="AE417" t="str">
            <v>Clean</v>
          </cell>
          <cell r="AF417" t="str">
            <v>Match</v>
          </cell>
          <cell r="AG417" t="str">
            <v>Match</v>
          </cell>
        </row>
        <row r="418">
          <cell r="B418">
            <v>45665</v>
          </cell>
          <cell r="D418">
            <v>8</v>
          </cell>
          <cell r="Y418">
            <v>0.25</v>
          </cell>
          <cell r="AE418" t="str">
            <v>Clean</v>
          </cell>
          <cell r="AF418" t="str">
            <v>Match</v>
          </cell>
          <cell r="AG418" t="str">
            <v>Match</v>
          </cell>
        </row>
        <row r="419">
          <cell r="B419">
            <v>45686</v>
          </cell>
          <cell r="D419">
            <v>7</v>
          </cell>
          <cell r="Y419">
            <v>0.2</v>
          </cell>
          <cell r="AE419" t="str">
            <v>Clean</v>
          </cell>
          <cell r="AF419" t="str">
            <v>Match</v>
          </cell>
          <cell r="AG419" t="str">
            <v>Match</v>
          </cell>
        </row>
        <row r="420">
          <cell r="B420">
            <v>45605</v>
          </cell>
          <cell r="D420">
            <v>8</v>
          </cell>
          <cell r="Y420">
            <v>0</v>
          </cell>
          <cell r="AE420" t="str">
            <v>Clean</v>
          </cell>
          <cell r="AF420" t="str">
            <v>Match</v>
          </cell>
          <cell r="AG420" t="str">
            <v>Match</v>
          </cell>
        </row>
        <row r="421">
          <cell r="B421">
            <v>45926</v>
          </cell>
          <cell r="D421">
            <v>4</v>
          </cell>
          <cell r="Y421">
            <v>0.05</v>
          </cell>
          <cell r="AE421" t="str">
            <v>Clean</v>
          </cell>
          <cell r="AF421" t="str">
            <v>Match</v>
          </cell>
          <cell r="AG421" t="str">
            <v>Match</v>
          </cell>
        </row>
        <row r="422">
          <cell r="B422">
            <v>45734</v>
          </cell>
          <cell r="D422">
            <v>1</v>
          </cell>
          <cell r="Y422">
            <v>0.25</v>
          </cell>
          <cell r="AE422" t="str">
            <v>Clean</v>
          </cell>
          <cell r="AF422" t="str">
            <v>Match</v>
          </cell>
          <cell r="AG422" t="str">
            <v>Match</v>
          </cell>
        </row>
        <row r="423">
          <cell r="B423">
            <v>45822</v>
          </cell>
          <cell r="D423">
            <v>5</v>
          </cell>
          <cell r="Y423">
            <v>0.2</v>
          </cell>
          <cell r="AE423" t="str">
            <v>Clean</v>
          </cell>
          <cell r="AF423" t="str">
            <v>Match</v>
          </cell>
          <cell r="AG423" t="str">
            <v>Match</v>
          </cell>
        </row>
        <row r="424">
          <cell r="B424">
            <v>45903</v>
          </cell>
          <cell r="D424">
            <v>3</v>
          </cell>
          <cell r="Y424">
            <v>0.15</v>
          </cell>
          <cell r="AE424" t="str">
            <v>Clean</v>
          </cell>
          <cell r="AF424" t="str">
            <v>Match</v>
          </cell>
          <cell r="AG424" t="str">
            <v>Match</v>
          </cell>
        </row>
        <row r="425">
          <cell r="B425">
            <v>45342</v>
          </cell>
          <cell r="D425">
            <v>7</v>
          </cell>
          <cell r="Y425">
            <v>0.2</v>
          </cell>
          <cell r="AE425" t="str">
            <v>Warning</v>
          </cell>
          <cell r="AF425" t="str">
            <v>Match</v>
          </cell>
          <cell r="AG425" t="str">
            <v>Match</v>
          </cell>
        </row>
        <row r="426">
          <cell r="B426">
            <v>45469</v>
          </cell>
          <cell r="D426">
            <v>3</v>
          </cell>
          <cell r="Y426">
            <v>0</v>
          </cell>
          <cell r="AE426" t="str">
            <v>Clean</v>
          </cell>
          <cell r="AF426" t="str">
            <v>Match</v>
          </cell>
          <cell r="AG426" t="str">
            <v>Match</v>
          </cell>
        </row>
        <row r="427">
          <cell r="B427">
            <v>45561</v>
          </cell>
          <cell r="D427">
            <v>1</v>
          </cell>
          <cell r="Y427">
            <v>0.1</v>
          </cell>
          <cell r="AE427" t="str">
            <v>Clean</v>
          </cell>
          <cell r="AF427" t="str">
            <v>Match</v>
          </cell>
          <cell r="AG427" t="str">
            <v>Match</v>
          </cell>
        </row>
        <row r="428">
          <cell r="B428">
            <v>45473</v>
          </cell>
          <cell r="D428">
            <v>1</v>
          </cell>
          <cell r="Y428">
            <v>0.1</v>
          </cell>
          <cell r="AE428" t="str">
            <v>Clean</v>
          </cell>
          <cell r="AF428" t="str">
            <v>Match</v>
          </cell>
          <cell r="AG428" t="str">
            <v>Match</v>
          </cell>
        </row>
        <row r="429">
          <cell r="B429">
            <v>45769</v>
          </cell>
          <cell r="D429">
            <v>2</v>
          </cell>
          <cell r="Y429">
            <v>0</v>
          </cell>
          <cell r="AE429" t="str">
            <v>Clean</v>
          </cell>
          <cell r="AF429" t="str">
            <v>Match</v>
          </cell>
          <cell r="AG429" t="str">
            <v>Match</v>
          </cell>
        </row>
        <row r="430">
          <cell r="B430">
            <v>45731</v>
          </cell>
          <cell r="D430">
            <v>7</v>
          </cell>
          <cell r="Y430">
            <v>0.25</v>
          </cell>
          <cell r="AE430" t="str">
            <v>Clean</v>
          </cell>
          <cell r="AF430" t="str">
            <v>Match</v>
          </cell>
          <cell r="AG430" t="str">
            <v>Match</v>
          </cell>
        </row>
        <row r="431">
          <cell r="B431">
            <v>45717</v>
          </cell>
          <cell r="D431">
            <v>7</v>
          </cell>
          <cell r="Y431">
            <v>0.25</v>
          </cell>
          <cell r="AE431" t="str">
            <v>Clean</v>
          </cell>
          <cell r="AF431" t="str">
            <v>Match</v>
          </cell>
          <cell r="AG431" t="str">
            <v>Match</v>
          </cell>
        </row>
        <row r="432">
          <cell r="B432">
            <v>45534</v>
          </cell>
          <cell r="D432">
            <v>3</v>
          </cell>
          <cell r="Y432">
            <v>0.15</v>
          </cell>
          <cell r="AE432" t="str">
            <v>Clean</v>
          </cell>
          <cell r="AF432" t="str">
            <v>Match</v>
          </cell>
          <cell r="AG432" t="str">
            <v>Mismatch</v>
          </cell>
        </row>
        <row r="433">
          <cell r="B433">
            <v>45332</v>
          </cell>
          <cell r="D433">
            <v>3</v>
          </cell>
          <cell r="Y433">
            <v>0.25</v>
          </cell>
          <cell r="AE433" t="str">
            <v>Clean</v>
          </cell>
          <cell r="AF433" t="str">
            <v>Match</v>
          </cell>
          <cell r="AG433" t="str">
            <v>Match</v>
          </cell>
        </row>
        <row r="434">
          <cell r="B434">
            <v>45533</v>
          </cell>
          <cell r="D434">
            <v>4</v>
          </cell>
          <cell r="Y434">
            <v>0.05</v>
          </cell>
          <cell r="AE434" t="str">
            <v>Clean</v>
          </cell>
          <cell r="AF434" t="str">
            <v>Match</v>
          </cell>
          <cell r="AG434" t="str">
            <v>Match</v>
          </cell>
        </row>
        <row r="435">
          <cell r="B435">
            <v>45401</v>
          </cell>
          <cell r="D435">
            <v>1</v>
          </cell>
          <cell r="Y435">
            <v>0</v>
          </cell>
          <cell r="AE435" t="str">
            <v>Clean</v>
          </cell>
          <cell r="AF435" t="str">
            <v>Match</v>
          </cell>
          <cell r="AG435" t="str">
            <v>Match</v>
          </cell>
        </row>
        <row r="436">
          <cell r="B436">
            <v>45758</v>
          </cell>
          <cell r="D436">
            <v>4</v>
          </cell>
          <cell r="Y436">
            <v>0</v>
          </cell>
          <cell r="AE436" t="str">
            <v>Clean</v>
          </cell>
          <cell r="AF436" t="str">
            <v>Match</v>
          </cell>
          <cell r="AG436" t="str">
            <v>Match</v>
          </cell>
        </row>
        <row r="437">
          <cell r="B437">
            <v>45759</v>
          </cell>
          <cell r="D437">
            <v>8</v>
          </cell>
          <cell r="Y437">
            <v>0.15</v>
          </cell>
          <cell r="AE437" t="str">
            <v>Clean</v>
          </cell>
          <cell r="AF437" t="str">
            <v>Match</v>
          </cell>
          <cell r="AG437" t="str">
            <v>Match</v>
          </cell>
        </row>
        <row r="438">
          <cell r="B438">
            <v>45459</v>
          </cell>
          <cell r="D438">
            <v>5</v>
          </cell>
          <cell r="Y438">
            <v>0.05</v>
          </cell>
          <cell r="AE438" t="str">
            <v>Clean</v>
          </cell>
          <cell r="AF438" t="str">
            <v>Match</v>
          </cell>
          <cell r="AG438" t="str">
            <v>Match</v>
          </cell>
        </row>
        <row r="439">
          <cell r="B439">
            <v>45337</v>
          </cell>
          <cell r="D439">
            <v>3</v>
          </cell>
          <cell r="Y439">
            <v>0.05</v>
          </cell>
          <cell r="AE439" t="str">
            <v>Clean</v>
          </cell>
          <cell r="AF439" t="str">
            <v>Match</v>
          </cell>
          <cell r="AG439" t="str">
            <v>Match</v>
          </cell>
        </row>
        <row r="440">
          <cell r="B440">
            <v>45784</v>
          </cell>
          <cell r="D440">
            <v>-2</v>
          </cell>
          <cell r="Y440">
            <v>0.2</v>
          </cell>
          <cell r="AE440" t="str">
            <v>Invalid</v>
          </cell>
          <cell r="AF440" t="str">
            <v>Match</v>
          </cell>
          <cell r="AG440" t="str">
            <v>Match</v>
          </cell>
        </row>
        <row r="441">
          <cell r="B441">
            <v>45838</v>
          </cell>
          <cell r="D441">
            <v>3</v>
          </cell>
          <cell r="Y441">
            <v>0</v>
          </cell>
          <cell r="AE441" t="str">
            <v>Clean</v>
          </cell>
          <cell r="AF441" t="str">
            <v>Match</v>
          </cell>
          <cell r="AG441" t="str">
            <v>Match</v>
          </cell>
        </row>
        <row r="442">
          <cell r="B442">
            <v>45384</v>
          </cell>
          <cell r="D442">
            <v>6</v>
          </cell>
          <cell r="Y442">
            <v>0.2</v>
          </cell>
          <cell r="AE442" t="str">
            <v>Clean</v>
          </cell>
          <cell r="AF442" t="str">
            <v>Match</v>
          </cell>
          <cell r="AG442" t="str">
            <v>Match</v>
          </cell>
        </row>
        <row r="443">
          <cell r="B443">
            <v>45568</v>
          </cell>
          <cell r="D443">
            <v>0</v>
          </cell>
          <cell r="Y443">
            <v>0</v>
          </cell>
          <cell r="AE443" t="str">
            <v>Clean</v>
          </cell>
          <cell r="AF443" t="str">
            <v>Match</v>
          </cell>
          <cell r="AG443" t="str">
            <v>Match</v>
          </cell>
        </row>
        <row r="444">
          <cell r="B444">
            <v>45669</v>
          </cell>
          <cell r="D444">
            <v>7</v>
          </cell>
          <cell r="Y444">
            <v>0</v>
          </cell>
          <cell r="AE444" t="str">
            <v>Clean</v>
          </cell>
          <cell r="AF444" t="str">
            <v>Match</v>
          </cell>
          <cell r="AG444" t="str">
            <v>Match</v>
          </cell>
        </row>
        <row r="445">
          <cell r="B445">
            <v>45386</v>
          </cell>
          <cell r="D445">
            <v>3</v>
          </cell>
          <cell r="Y445">
            <v>0.1</v>
          </cell>
          <cell r="AE445" t="str">
            <v>Clean</v>
          </cell>
          <cell r="AF445" t="str">
            <v>Match</v>
          </cell>
          <cell r="AG445" t="str">
            <v>Match</v>
          </cell>
        </row>
        <row r="446">
          <cell r="B446">
            <v>45881</v>
          </cell>
          <cell r="D446">
            <v>4</v>
          </cell>
          <cell r="Y446">
            <v>0.05</v>
          </cell>
          <cell r="AE446" t="str">
            <v>Clean</v>
          </cell>
          <cell r="AF446" t="str">
            <v>Match</v>
          </cell>
          <cell r="AG446" t="str">
            <v>Match</v>
          </cell>
        </row>
        <row r="447">
          <cell r="B447">
            <v>45421</v>
          </cell>
          <cell r="D447">
            <v>-4</v>
          </cell>
          <cell r="Y447">
            <v>0.2</v>
          </cell>
          <cell r="AE447" t="str">
            <v>Invalid</v>
          </cell>
          <cell r="AF447" t="str">
            <v>Match</v>
          </cell>
          <cell r="AG447" t="str">
            <v>Match</v>
          </cell>
        </row>
        <row r="448">
          <cell r="B448">
            <v>45918</v>
          </cell>
          <cell r="D448">
            <v>1</v>
          </cell>
          <cell r="Y448">
            <v>0</v>
          </cell>
          <cell r="AE448" t="str">
            <v>Clean</v>
          </cell>
          <cell r="AF448" t="str">
            <v>Match</v>
          </cell>
          <cell r="AG448" t="str">
            <v>Match</v>
          </cell>
        </row>
        <row r="449">
          <cell r="B449">
            <v>45879</v>
          </cell>
          <cell r="D449">
            <v>0</v>
          </cell>
          <cell r="Y449">
            <v>0.15</v>
          </cell>
          <cell r="AE449" t="str">
            <v>Clean</v>
          </cell>
          <cell r="AF449" t="str">
            <v>Match</v>
          </cell>
          <cell r="AG449" t="str">
            <v>Match</v>
          </cell>
        </row>
        <row r="450">
          <cell r="B450">
            <v>45306</v>
          </cell>
          <cell r="D450">
            <v>3</v>
          </cell>
          <cell r="Y450">
            <v>0.15</v>
          </cell>
          <cell r="AE450" t="str">
            <v>Clean</v>
          </cell>
          <cell r="AF450" t="str">
            <v>Match</v>
          </cell>
          <cell r="AG450" t="str">
            <v>Match</v>
          </cell>
        </row>
        <row r="451">
          <cell r="B451">
            <v>45449</v>
          </cell>
          <cell r="D451">
            <v>7</v>
          </cell>
          <cell r="Y451">
            <v>0</v>
          </cell>
          <cell r="AE451" t="str">
            <v>Clean</v>
          </cell>
          <cell r="AF451" t="str">
            <v>Match</v>
          </cell>
          <cell r="AG451" t="str">
            <v>Match</v>
          </cell>
        </row>
        <row r="452">
          <cell r="B452">
            <v>45820</v>
          </cell>
          <cell r="D452">
            <v>7</v>
          </cell>
          <cell r="Y452">
            <v>0.25</v>
          </cell>
          <cell r="AE452" t="str">
            <v>Clean</v>
          </cell>
          <cell r="AF452" t="str">
            <v>Match</v>
          </cell>
          <cell r="AG452" t="str">
            <v>Match</v>
          </cell>
        </row>
        <row r="453">
          <cell r="B453">
            <v>45375</v>
          </cell>
          <cell r="D453">
            <v>2</v>
          </cell>
          <cell r="Y453">
            <v>0.15</v>
          </cell>
          <cell r="AE453" t="str">
            <v>Clean</v>
          </cell>
          <cell r="AF453" t="str">
            <v>Match</v>
          </cell>
          <cell r="AG453" t="str">
            <v>Match</v>
          </cell>
        </row>
        <row r="454">
          <cell r="B454">
            <v>45422</v>
          </cell>
          <cell r="D454">
            <v>6</v>
          </cell>
          <cell r="Y454">
            <v>0.2</v>
          </cell>
          <cell r="AE454" t="str">
            <v>Clean</v>
          </cell>
          <cell r="AF454" t="str">
            <v>Match</v>
          </cell>
          <cell r="AG454" t="str">
            <v>Match</v>
          </cell>
        </row>
        <row r="455">
          <cell r="B455">
            <v>45780</v>
          </cell>
          <cell r="D455">
            <v>8</v>
          </cell>
          <cell r="Y455">
            <v>0</v>
          </cell>
          <cell r="AE455" t="str">
            <v>Clean</v>
          </cell>
          <cell r="AF455" t="str">
            <v>Match</v>
          </cell>
          <cell r="AG455" t="str">
            <v>Match</v>
          </cell>
        </row>
        <row r="456">
          <cell r="B456">
            <v>45739</v>
          </cell>
          <cell r="D456">
            <v>5</v>
          </cell>
          <cell r="Y456">
            <v>0.15</v>
          </cell>
          <cell r="AE456" t="str">
            <v>Clean</v>
          </cell>
          <cell r="AF456" t="str">
            <v>Match</v>
          </cell>
          <cell r="AG456" t="str">
            <v>Match</v>
          </cell>
        </row>
        <row r="457">
          <cell r="B457">
            <v>45491</v>
          </cell>
          <cell r="D457">
            <v>4</v>
          </cell>
          <cell r="Y457">
            <v>0</v>
          </cell>
          <cell r="AE457" t="str">
            <v>Clean</v>
          </cell>
          <cell r="AF457" t="str">
            <v>Match</v>
          </cell>
          <cell r="AG457" t="str">
            <v>Match</v>
          </cell>
        </row>
        <row r="458">
          <cell r="B458">
            <v>45342</v>
          </cell>
          <cell r="D458">
            <v>0</v>
          </cell>
          <cell r="Y458">
            <v>0.15</v>
          </cell>
          <cell r="AE458" t="str">
            <v>Clean</v>
          </cell>
          <cell r="AF458" t="str">
            <v>Match</v>
          </cell>
          <cell r="AG458" t="str">
            <v>Match</v>
          </cell>
        </row>
        <row r="459">
          <cell r="B459">
            <v>45416</v>
          </cell>
          <cell r="D459">
            <v>0</v>
          </cell>
          <cell r="Y459">
            <v>0</v>
          </cell>
          <cell r="AE459" t="str">
            <v>Clean</v>
          </cell>
          <cell r="AF459" t="str">
            <v>Match</v>
          </cell>
          <cell r="AG459" t="str">
            <v>Match</v>
          </cell>
        </row>
        <row r="460">
          <cell r="B460">
            <v>45332</v>
          </cell>
          <cell r="D460">
            <v>1</v>
          </cell>
          <cell r="Y460">
            <v>0.1</v>
          </cell>
          <cell r="AE460" t="str">
            <v>Clean</v>
          </cell>
          <cell r="AF460" t="str">
            <v>Match</v>
          </cell>
          <cell r="AG460" t="str">
            <v>Match</v>
          </cell>
        </row>
        <row r="461">
          <cell r="B461">
            <v>45379</v>
          </cell>
          <cell r="D461">
            <v>7</v>
          </cell>
          <cell r="Y461">
            <v>0</v>
          </cell>
          <cell r="AE461" t="str">
            <v>Clean</v>
          </cell>
          <cell r="AF461" t="str">
            <v>Match</v>
          </cell>
          <cell r="AG461" t="str">
            <v>Match</v>
          </cell>
        </row>
        <row r="462">
          <cell r="B462">
            <v>45930</v>
          </cell>
          <cell r="D462">
            <v>6</v>
          </cell>
          <cell r="Y462">
            <v>0.05</v>
          </cell>
          <cell r="AE462" t="str">
            <v>Clean</v>
          </cell>
          <cell r="AF462" t="str">
            <v>Match</v>
          </cell>
          <cell r="AG462" t="str">
            <v>Match</v>
          </cell>
        </row>
        <row r="463">
          <cell r="B463">
            <v>45802</v>
          </cell>
          <cell r="D463">
            <v>1</v>
          </cell>
          <cell r="Y463">
            <v>0.15</v>
          </cell>
          <cell r="AE463" t="str">
            <v>Clean</v>
          </cell>
          <cell r="AF463" t="str">
            <v>Match</v>
          </cell>
          <cell r="AG463" t="str">
            <v>Match</v>
          </cell>
        </row>
        <row r="464">
          <cell r="B464">
            <v>45558</v>
          </cell>
          <cell r="D464">
            <v>2</v>
          </cell>
          <cell r="Y464">
            <v>0.2</v>
          </cell>
          <cell r="AE464" t="str">
            <v>Clean</v>
          </cell>
          <cell r="AF464" t="str">
            <v>Match</v>
          </cell>
          <cell r="AG464" t="str">
            <v>Match</v>
          </cell>
        </row>
        <row r="465">
          <cell r="B465">
            <v>45695</v>
          </cell>
          <cell r="D465">
            <v>1</v>
          </cell>
          <cell r="Y465">
            <v>0.2</v>
          </cell>
          <cell r="AE465" t="str">
            <v>Clean</v>
          </cell>
          <cell r="AF465" t="str">
            <v>Match</v>
          </cell>
          <cell r="AG465" t="str">
            <v>Match</v>
          </cell>
        </row>
        <row r="466">
          <cell r="B466">
            <v>45727</v>
          </cell>
          <cell r="D466">
            <v>4</v>
          </cell>
          <cell r="Y466">
            <v>0.05</v>
          </cell>
          <cell r="AE466" t="str">
            <v>Clean</v>
          </cell>
          <cell r="AF466" t="str">
            <v>Match</v>
          </cell>
          <cell r="AG466" t="str">
            <v>Match</v>
          </cell>
        </row>
        <row r="467">
          <cell r="B467">
            <v>45320</v>
          </cell>
          <cell r="D467">
            <v>8</v>
          </cell>
          <cell r="Y467">
            <v>0</v>
          </cell>
          <cell r="AE467" t="str">
            <v>Clean</v>
          </cell>
          <cell r="AF467" t="str">
            <v>Match</v>
          </cell>
          <cell r="AG467" t="str">
            <v>Match</v>
          </cell>
        </row>
        <row r="468">
          <cell r="B468">
            <v>45295</v>
          </cell>
          <cell r="D468">
            <v>4</v>
          </cell>
          <cell r="Y468">
            <v>0.2</v>
          </cell>
          <cell r="AE468" t="str">
            <v>Clean</v>
          </cell>
          <cell r="AF468" t="str">
            <v>Match</v>
          </cell>
          <cell r="AG468" t="str">
            <v>Match</v>
          </cell>
        </row>
        <row r="469">
          <cell r="B469">
            <v>45524</v>
          </cell>
          <cell r="D469">
            <v>1</v>
          </cell>
          <cell r="Y469">
            <v>0.1</v>
          </cell>
          <cell r="AE469" t="str">
            <v>Clean</v>
          </cell>
          <cell r="AF469" t="str">
            <v>Match</v>
          </cell>
          <cell r="AG469" t="str">
            <v>Match</v>
          </cell>
        </row>
        <row r="470">
          <cell r="B470">
            <v>45666</v>
          </cell>
          <cell r="D470">
            <v>-2</v>
          </cell>
          <cell r="Y470">
            <v>0</v>
          </cell>
          <cell r="AE470" t="str">
            <v>Invalid</v>
          </cell>
          <cell r="AF470" t="str">
            <v>Match</v>
          </cell>
          <cell r="AG470" t="str">
            <v>Match</v>
          </cell>
        </row>
        <row r="471">
          <cell r="B471">
            <v>45310</v>
          </cell>
          <cell r="D471">
            <v>6</v>
          </cell>
          <cell r="Y471">
            <v>0.1</v>
          </cell>
          <cell r="AE471" t="str">
            <v>Clean</v>
          </cell>
          <cell r="AF471" t="str">
            <v>Match</v>
          </cell>
          <cell r="AG471" t="str">
            <v>Match</v>
          </cell>
        </row>
        <row r="472">
          <cell r="B472">
            <v>45501</v>
          </cell>
          <cell r="D472">
            <v>3</v>
          </cell>
          <cell r="Y472">
            <v>0.2</v>
          </cell>
          <cell r="AE472" t="str">
            <v>Clean</v>
          </cell>
          <cell r="AF472" t="str">
            <v>Match</v>
          </cell>
          <cell r="AG472" t="str">
            <v>Match</v>
          </cell>
        </row>
        <row r="473">
          <cell r="B473">
            <v>45333</v>
          </cell>
          <cell r="D473">
            <v>4</v>
          </cell>
          <cell r="Y473">
            <v>0.25</v>
          </cell>
          <cell r="AE473" t="str">
            <v>Clean</v>
          </cell>
          <cell r="AF473" t="str">
            <v>Match</v>
          </cell>
          <cell r="AG473" t="str">
            <v>Match</v>
          </cell>
        </row>
        <row r="474">
          <cell r="B474">
            <v>45353</v>
          </cell>
          <cell r="D474">
            <v>5</v>
          </cell>
          <cell r="Y474">
            <v>0</v>
          </cell>
          <cell r="AE474" t="str">
            <v>Clean</v>
          </cell>
          <cell r="AF474" t="str">
            <v>Match</v>
          </cell>
          <cell r="AG474" t="str">
            <v>Match</v>
          </cell>
        </row>
        <row r="475">
          <cell r="B475">
            <v>45609</v>
          </cell>
          <cell r="D475">
            <v>0</v>
          </cell>
          <cell r="Y475">
            <v>0.2</v>
          </cell>
          <cell r="AE475" t="str">
            <v>Clean</v>
          </cell>
          <cell r="AF475" t="str">
            <v>Match</v>
          </cell>
          <cell r="AG475" t="str">
            <v>Match</v>
          </cell>
        </row>
        <row r="476">
          <cell r="B476">
            <v>45446</v>
          </cell>
          <cell r="D476">
            <v>7</v>
          </cell>
          <cell r="Y476">
            <v>0</v>
          </cell>
          <cell r="AE476" t="str">
            <v>Clean</v>
          </cell>
          <cell r="AF476" t="str">
            <v>Match</v>
          </cell>
          <cell r="AG476" t="str">
            <v>Match</v>
          </cell>
        </row>
        <row r="477">
          <cell r="B477">
            <v>45717</v>
          </cell>
          <cell r="D477">
            <v>7</v>
          </cell>
          <cell r="Y477">
            <v>0.25</v>
          </cell>
          <cell r="AE477" t="str">
            <v>Clean</v>
          </cell>
          <cell r="AF477" t="str">
            <v>Match</v>
          </cell>
          <cell r="AG477" t="str">
            <v>Match</v>
          </cell>
        </row>
        <row r="478">
          <cell r="B478">
            <v>45419</v>
          </cell>
          <cell r="D478">
            <v>7</v>
          </cell>
          <cell r="Y478">
            <v>0.1</v>
          </cell>
          <cell r="AE478" t="str">
            <v>Clean</v>
          </cell>
          <cell r="AF478" t="str">
            <v>Match</v>
          </cell>
          <cell r="AG478" t="str">
            <v>Match</v>
          </cell>
        </row>
        <row r="479">
          <cell r="B479">
            <v>45892</v>
          </cell>
          <cell r="D479">
            <v>5</v>
          </cell>
          <cell r="Y479">
            <v>0.1</v>
          </cell>
          <cell r="AE479" t="str">
            <v>Clean</v>
          </cell>
          <cell r="AF479" t="str">
            <v>Match</v>
          </cell>
          <cell r="AG479" t="str">
            <v>Match</v>
          </cell>
        </row>
        <row r="480">
          <cell r="B480">
            <v>45452</v>
          </cell>
          <cell r="D480">
            <v>4</v>
          </cell>
          <cell r="Y480">
            <v>0.1</v>
          </cell>
          <cell r="AE480" t="str">
            <v>Clean</v>
          </cell>
          <cell r="AF480" t="str">
            <v>Match</v>
          </cell>
          <cell r="AG480" t="str">
            <v>Match</v>
          </cell>
        </row>
        <row r="481">
          <cell r="B481">
            <v>45345</v>
          </cell>
          <cell r="D481">
            <v>-3</v>
          </cell>
          <cell r="Y481">
            <v>0</v>
          </cell>
          <cell r="AE481" t="str">
            <v>Invalid</v>
          </cell>
          <cell r="AF481" t="str">
            <v>Mismatch</v>
          </cell>
          <cell r="AG481" t="str">
            <v>Mismatch</v>
          </cell>
        </row>
        <row r="482">
          <cell r="B482">
            <v>45662</v>
          </cell>
          <cell r="D482">
            <v>4</v>
          </cell>
          <cell r="Y482">
            <v>0</v>
          </cell>
          <cell r="AE482" t="str">
            <v>Clean</v>
          </cell>
          <cell r="AF482" t="str">
            <v>Match</v>
          </cell>
          <cell r="AG482" t="str">
            <v>Match</v>
          </cell>
        </row>
        <row r="483">
          <cell r="B483">
            <v>45813</v>
          </cell>
          <cell r="D483">
            <v>8</v>
          </cell>
          <cell r="Y483">
            <v>0.85</v>
          </cell>
          <cell r="AE483" t="str">
            <v>Clean</v>
          </cell>
          <cell r="AF483" t="str">
            <v>Mismatch</v>
          </cell>
          <cell r="AG483" t="str">
            <v>Mismatch</v>
          </cell>
        </row>
        <row r="484">
          <cell r="B484">
            <v>45495</v>
          </cell>
          <cell r="D484">
            <v>0</v>
          </cell>
          <cell r="Y484">
            <v>0.25</v>
          </cell>
          <cell r="AE484" t="str">
            <v>Clean</v>
          </cell>
          <cell r="AF484" t="str">
            <v>Match</v>
          </cell>
          <cell r="AG484" t="str">
            <v>Match</v>
          </cell>
        </row>
        <row r="485">
          <cell r="B485">
            <v>45651</v>
          </cell>
          <cell r="D485">
            <v>0</v>
          </cell>
          <cell r="Y485">
            <v>0.15</v>
          </cell>
          <cell r="AE485" t="str">
            <v>Clean</v>
          </cell>
          <cell r="AF485" t="str">
            <v>Match</v>
          </cell>
          <cell r="AG485" t="str">
            <v>Match</v>
          </cell>
        </row>
        <row r="486">
          <cell r="B486">
            <v>45654</v>
          </cell>
          <cell r="D486">
            <v>3</v>
          </cell>
          <cell r="Y486">
            <v>0.25</v>
          </cell>
          <cell r="AE486" t="str">
            <v>Clean</v>
          </cell>
          <cell r="AF486" t="str">
            <v>Match</v>
          </cell>
          <cell r="AG486" t="str">
            <v>Match</v>
          </cell>
        </row>
        <row r="487">
          <cell r="B487">
            <v>45679</v>
          </cell>
          <cell r="D487">
            <v>1</v>
          </cell>
          <cell r="Y487">
            <v>0.25</v>
          </cell>
          <cell r="AE487" t="str">
            <v>Clean</v>
          </cell>
          <cell r="AF487" t="str">
            <v>Match</v>
          </cell>
          <cell r="AG487" t="str">
            <v>Match</v>
          </cell>
        </row>
        <row r="488">
          <cell r="B488">
            <v>45830</v>
          </cell>
          <cell r="D488">
            <v>4</v>
          </cell>
          <cell r="Y488">
            <v>0.2</v>
          </cell>
          <cell r="AE488" t="str">
            <v>Clean</v>
          </cell>
          <cell r="AF488" t="str">
            <v>Match</v>
          </cell>
          <cell r="AG488" t="str">
            <v>Match</v>
          </cell>
        </row>
        <row r="489">
          <cell r="B489">
            <v>45818</v>
          </cell>
          <cell r="D489">
            <v>7</v>
          </cell>
          <cell r="Y489">
            <v>0</v>
          </cell>
          <cell r="AE489" t="str">
            <v>Clean</v>
          </cell>
          <cell r="AF489" t="str">
            <v>Match</v>
          </cell>
          <cell r="AG489" t="str">
            <v>Match</v>
          </cell>
        </row>
        <row r="490">
          <cell r="B490">
            <v>45579</v>
          </cell>
          <cell r="D490">
            <v>6</v>
          </cell>
          <cell r="Y490">
            <v>0.2</v>
          </cell>
          <cell r="AE490" t="str">
            <v>Clean</v>
          </cell>
          <cell r="AF490" t="str">
            <v>Match</v>
          </cell>
          <cell r="AG490" t="str">
            <v>Match</v>
          </cell>
        </row>
        <row r="491">
          <cell r="B491">
            <v>45329</v>
          </cell>
          <cell r="D491">
            <v>5</v>
          </cell>
          <cell r="Y491">
            <v>0.2</v>
          </cell>
          <cell r="AE491" t="str">
            <v>Clean</v>
          </cell>
          <cell r="AF491" t="str">
            <v>Match</v>
          </cell>
          <cell r="AG491" t="str">
            <v>Match</v>
          </cell>
        </row>
        <row r="492">
          <cell r="B492">
            <v>45551</v>
          </cell>
          <cell r="D492">
            <v>3</v>
          </cell>
          <cell r="Y492">
            <v>0.15</v>
          </cell>
          <cell r="AE492" t="str">
            <v>Clean</v>
          </cell>
          <cell r="AF492" t="str">
            <v>Match</v>
          </cell>
          <cell r="AG492" t="str">
            <v>Match</v>
          </cell>
        </row>
        <row r="493">
          <cell r="B493">
            <v>45776</v>
          </cell>
          <cell r="D493">
            <v>1</v>
          </cell>
          <cell r="Y493">
            <v>0.2</v>
          </cell>
          <cell r="AE493" t="str">
            <v>Clean</v>
          </cell>
          <cell r="AF493" t="str">
            <v>Match</v>
          </cell>
          <cell r="AG493" t="str">
            <v>Match</v>
          </cell>
        </row>
        <row r="494">
          <cell r="B494">
            <v>45836</v>
          </cell>
          <cell r="D494">
            <v>4</v>
          </cell>
          <cell r="Y494">
            <v>0.25</v>
          </cell>
          <cell r="AE494" t="str">
            <v>Clean</v>
          </cell>
          <cell r="AF494" t="str">
            <v>Match</v>
          </cell>
          <cell r="AG494" t="str">
            <v>Match</v>
          </cell>
        </row>
        <row r="495">
          <cell r="B495">
            <v>45701</v>
          </cell>
          <cell r="D495">
            <v>0</v>
          </cell>
          <cell r="Y495">
            <v>0.05</v>
          </cell>
          <cell r="AE495" t="str">
            <v>Clean</v>
          </cell>
          <cell r="AF495" t="str">
            <v>Match</v>
          </cell>
          <cell r="AG495" t="str">
            <v>Match</v>
          </cell>
        </row>
        <row r="496">
          <cell r="B496">
            <v>45610</v>
          </cell>
          <cell r="D496">
            <v>8</v>
          </cell>
          <cell r="Y496">
            <v>-0.13</v>
          </cell>
          <cell r="AE496" t="str">
            <v>Invalid</v>
          </cell>
          <cell r="AF496" t="str">
            <v>Mismatch</v>
          </cell>
          <cell r="AG496" t="str">
            <v>Mismatch</v>
          </cell>
        </row>
        <row r="497">
          <cell r="B497">
            <v>45421</v>
          </cell>
          <cell r="D497">
            <v>6</v>
          </cell>
          <cell r="Y497">
            <v>0.05</v>
          </cell>
          <cell r="AE497" t="str">
            <v>Clean</v>
          </cell>
          <cell r="AF497" t="str">
            <v>Match</v>
          </cell>
          <cell r="AG497" t="str">
            <v>Match</v>
          </cell>
        </row>
        <row r="498">
          <cell r="B498">
            <v>45842</v>
          </cell>
          <cell r="D498">
            <v>2</v>
          </cell>
          <cell r="Y498">
            <v>0.1</v>
          </cell>
          <cell r="AE498" t="str">
            <v>Clean</v>
          </cell>
          <cell r="AF498" t="str">
            <v>Match</v>
          </cell>
          <cell r="AG498" t="str">
            <v>Match</v>
          </cell>
        </row>
        <row r="499">
          <cell r="B499">
            <v>45533</v>
          </cell>
          <cell r="D499">
            <v>0</v>
          </cell>
          <cell r="Y499">
            <v>0.2</v>
          </cell>
          <cell r="AE499" t="str">
            <v>Clean</v>
          </cell>
          <cell r="AF499" t="str">
            <v>Match</v>
          </cell>
          <cell r="AG499" t="str">
            <v>Match</v>
          </cell>
        </row>
        <row r="500">
          <cell r="B500">
            <v>45907</v>
          </cell>
          <cell r="D500">
            <v>3</v>
          </cell>
          <cell r="Y500">
            <v>0.05</v>
          </cell>
          <cell r="AE500" t="str">
            <v>Clean</v>
          </cell>
          <cell r="AF500" t="str">
            <v>Match</v>
          </cell>
          <cell r="AG500" t="str">
            <v>Match</v>
          </cell>
        </row>
        <row r="501">
          <cell r="B501">
            <v>45648</v>
          </cell>
          <cell r="D501">
            <v>4</v>
          </cell>
          <cell r="Y501">
            <v>0</v>
          </cell>
          <cell r="AE501" t="str">
            <v>Clean</v>
          </cell>
          <cell r="AF501" t="str">
            <v>Mismatch</v>
          </cell>
          <cell r="AG501" t="str">
            <v>Mismatch</v>
          </cell>
        </row>
        <row r="502">
          <cell r="B502">
            <v>45429</v>
          </cell>
          <cell r="D502">
            <v>5</v>
          </cell>
          <cell r="Y502">
            <v>0.85</v>
          </cell>
          <cell r="AE502" t="str">
            <v>Clean</v>
          </cell>
          <cell r="AF502" t="str">
            <v>Mismatch</v>
          </cell>
          <cell r="AG502" t="str">
            <v>Mismatch</v>
          </cell>
        </row>
        <row r="503">
          <cell r="B503">
            <v>45515</v>
          </cell>
          <cell r="D503">
            <v>6</v>
          </cell>
          <cell r="Y503">
            <v>0.15</v>
          </cell>
          <cell r="AE503" t="str">
            <v>Clean</v>
          </cell>
          <cell r="AF503" t="str">
            <v>Match</v>
          </cell>
          <cell r="AG503" t="str">
            <v>Match</v>
          </cell>
        </row>
        <row r="504">
          <cell r="B504">
            <v>45383</v>
          </cell>
          <cell r="D504">
            <v>8</v>
          </cell>
          <cell r="Y504">
            <v>0.1</v>
          </cell>
          <cell r="AE504" t="str">
            <v>Clean</v>
          </cell>
          <cell r="AF504" t="str">
            <v>Match</v>
          </cell>
          <cell r="AG504" t="str">
            <v>Match</v>
          </cell>
        </row>
        <row r="505">
          <cell r="B505">
            <v>45563</v>
          </cell>
          <cell r="D505">
            <v>7</v>
          </cell>
          <cell r="Y505">
            <v>0.1</v>
          </cell>
          <cell r="AE505" t="str">
            <v>Clean</v>
          </cell>
          <cell r="AF505" t="str">
            <v>Match</v>
          </cell>
          <cell r="AG505" t="str">
            <v>Match</v>
          </cell>
        </row>
        <row r="506">
          <cell r="B506">
            <v>45700</v>
          </cell>
          <cell r="D506">
            <v>5</v>
          </cell>
          <cell r="Y506">
            <v>0</v>
          </cell>
          <cell r="AE506" t="str">
            <v>Clean</v>
          </cell>
          <cell r="AF506" t="str">
            <v>Match</v>
          </cell>
          <cell r="AG506" t="str">
            <v>Match</v>
          </cell>
        </row>
        <row r="507">
          <cell r="B507">
            <v>45605</v>
          </cell>
          <cell r="D507">
            <v>5</v>
          </cell>
          <cell r="Y507">
            <v>0.2</v>
          </cell>
          <cell r="AE507" t="str">
            <v>Clean</v>
          </cell>
          <cell r="AF507" t="str">
            <v>Match</v>
          </cell>
          <cell r="AG507" t="str">
            <v>Match</v>
          </cell>
        </row>
        <row r="508">
          <cell r="B508">
            <v>45641</v>
          </cell>
          <cell r="D508">
            <v>0</v>
          </cell>
          <cell r="Y508">
            <v>0.1</v>
          </cell>
          <cell r="AE508" t="str">
            <v>Clean</v>
          </cell>
          <cell r="AF508" t="str">
            <v>Match</v>
          </cell>
          <cell r="AG508" t="str">
            <v>Match</v>
          </cell>
        </row>
        <row r="509">
          <cell r="B509">
            <v>45762</v>
          </cell>
          <cell r="D509">
            <v>7</v>
          </cell>
          <cell r="Y509">
            <v>0.25</v>
          </cell>
          <cell r="AE509" t="str">
            <v>Clean</v>
          </cell>
          <cell r="AF509" t="str">
            <v>Match</v>
          </cell>
          <cell r="AG509" t="str">
            <v>Match</v>
          </cell>
        </row>
        <row r="510">
          <cell r="B510">
            <v>45382</v>
          </cell>
          <cell r="D510">
            <v>7</v>
          </cell>
          <cell r="Y510">
            <v>0</v>
          </cell>
          <cell r="AE510" t="str">
            <v>Clean</v>
          </cell>
          <cell r="AF510" t="str">
            <v>Match</v>
          </cell>
          <cell r="AG510" t="str">
            <v>Match</v>
          </cell>
        </row>
        <row r="511">
          <cell r="B511">
            <v>45789</v>
          </cell>
          <cell r="D511">
            <v>2</v>
          </cell>
          <cell r="Y511">
            <v>0.2</v>
          </cell>
          <cell r="AE511" t="str">
            <v>Clean</v>
          </cell>
          <cell r="AF511" t="str">
            <v>Match</v>
          </cell>
          <cell r="AG511" t="str">
            <v>Match</v>
          </cell>
        </row>
        <row r="512">
          <cell r="B512">
            <v>45583</v>
          </cell>
          <cell r="D512">
            <v>3</v>
          </cell>
          <cell r="Y512">
            <v>0</v>
          </cell>
          <cell r="AE512" t="str">
            <v>Clean</v>
          </cell>
          <cell r="AF512" t="str">
            <v>Match</v>
          </cell>
          <cell r="AG512" t="str">
            <v>Match</v>
          </cell>
        </row>
        <row r="513">
          <cell r="B513">
            <v>45588</v>
          </cell>
          <cell r="D513">
            <v>3</v>
          </cell>
          <cell r="Y513">
            <v>0.25</v>
          </cell>
          <cell r="AE513" t="str">
            <v>Clean</v>
          </cell>
          <cell r="AF513" t="str">
            <v>Match</v>
          </cell>
          <cell r="AG513" t="str">
            <v>Match</v>
          </cell>
        </row>
        <row r="514">
          <cell r="B514">
            <v>45718</v>
          </cell>
          <cell r="D514">
            <v>1</v>
          </cell>
          <cell r="Y514">
            <v>0.25</v>
          </cell>
          <cell r="AE514" t="str">
            <v>Clean</v>
          </cell>
          <cell r="AF514" t="str">
            <v>Match</v>
          </cell>
          <cell r="AG514" t="str">
            <v>Match</v>
          </cell>
        </row>
        <row r="515">
          <cell r="B515">
            <v>45835</v>
          </cell>
          <cell r="D515">
            <v>5</v>
          </cell>
          <cell r="Y515">
            <v>0.1</v>
          </cell>
          <cell r="AE515" t="str">
            <v>Clean</v>
          </cell>
          <cell r="AF515" t="str">
            <v>Mismatch</v>
          </cell>
          <cell r="AG515" t="str">
            <v>Match</v>
          </cell>
        </row>
        <row r="516">
          <cell r="B516">
            <v>45614</v>
          </cell>
          <cell r="D516">
            <v>4</v>
          </cell>
          <cell r="Y516">
            <v>0.1</v>
          </cell>
          <cell r="AE516" t="str">
            <v>Clean</v>
          </cell>
          <cell r="AF516" t="str">
            <v>Match</v>
          </cell>
          <cell r="AG516" t="str">
            <v>Match</v>
          </cell>
        </row>
        <row r="517">
          <cell r="B517">
            <v>45758</v>
          </cell>
          <cell r="D517">
            <v>0</v>
          </cell>
          <cell r="Y517">
            <v>-7.0000000000000007E-2</v>
          </cell>
          <cell r="AE517" t="str">
            <v>Invalid</v>
          </cell>
          <cell r="AF517" t="str">
            <v>Mismatch</v>
          </cell>
          <cell r="AG517" t="str">
            <v>Mismatch</v>
          </cell>
        </row>
        <row r="518">
          <cell r="B518">
            <v>45563</v>
          </cell>
          <cell r="D518">
            <v>6</v>
          </cell>
          <cell r="Y518">
            <v>0</v>
          </cell>
          <cell r="AE518" t="str">
            <v>Clean</v>
          </cell>
          <cell r="AF518" t="str">
            <v>Match</v>
          </cell>
          <cell r="AG518" t="str">
            <v>Match</v>
          </cell>
        </row>
        <row r="519">
          <cell r="B519">
            <v>45802</v>
          </cell>
          <cell r="D519">
            <v>2</v>
          </cell>
          <cell r="Y519">
            <v>0.2</v>
          </cell>
          <cell r="AE519" t="str">
            <v>Clean</v>
          </cell>
          <cell r="AF519" t="str">
            <v>Match</v>
          </cell>
          <cell r="AG519" t="str">
            <v>Match</v>
          </cell>
        </row>
        <row r="520">
          <cell r="B520">
            <v>45777</v>
          </cell>
          <cell r="D520">
            <v>-4</v>
          </cell>
          <cell r="Y520">
            <v>0.25</v>
          </cell>
          <cell r="AE520" t="str">
            <v>Invalid</v>
          </cell>
          <cell r="AF520" t="str">
            <v>Match</v>
          </cell>
          <cell r="AG520" t="str">
            <v>Match</v>
          </cell>
        </row>
        <row r="521">
          <cell r="B521">
            <v>45841</v>
          </cell>
          <cell r="D521">
            <v>4</v>
          </cell>
          <cell r="Y521">
            <v>0.2</v>
          </cell>
          <cell r="AE521" t="str">
            <v>Clean</v>
          </cell>
          <cell r="AF521" t="str">
            <v>Match</v>
          </cell>
          <cell r="AG521" t="str">
            <v>Match</v>
          </cell>
        </row>
        <row r="522">
          <cell r="B522">
            <v>45489</v>
          </cell>
          <cell r="D522">
            <v>7</v>
          </cell>
          <cell r="Y522">
            <v>0.05</v>
          </cell>
          <cell r="AE522" t="str">
            <v>Clean</v>
          </cell>
          <cell r="AF522" t="str">
            <v>Match</v>
          </cell>
          <cell r="AG522" t="str">
            <v>Match</v>
          </cell>
        </row>
        <row r="523">
          <cell r="B523">
            <v>45741</v>
          </cell>
          <cell r="D523">
            <v>7</v>
          </cell>
          <cell r="Y523">
            <v>0.05</v>
          </cell>
          <cell r="AE523" t="str">
            <v>Clean</v>
          </cell>
          <cell r="AF523" t="str">
            <v>Match</v>
          </cell>
          <cell r="AG523" t="str">
            <v>Match</v>
          </cell>
        </row>
        <row r="524">
          <cell r="B524">
            <v>45716</v>
          </cell>
          <cell r="D524">
            <v>8</v>
          </cell>
          <cell r="Y524">
            <v>0</v>
          </cell>
          <cell r="AE524" t="str">
            <v>Clean</v>
          </cell>
          <cell r="AF524" t="str">
            <v>Match</v>
          </cell>
          <cell r="AG524" t="str">
            <v>Match</v>
          </cell>
        </row>
        <row r="525">
          <cell r="B525">
            <v>45384</v>
          </cell>
          <cell r="D525">
            <v>1</v>
          </cell>
          <cell r="Y525">
            <v>0</v>
          </cell>
          <cell r="AE525" t="str">
            <v>Clean</v>
          </cell>
          <cell r="AF525" t="str">
            <v>Match</v>
          </cell>
          <cell r="AG525" t="str">
            <v>Match</v>
          </cell>
        </row>
        <row r="526">
          <cell r="B526">
            <v>45626</v>
          </cell>
          <cell r="D526">
            <v>1</v>
          </cell>
          <cell r="Y526">
            <v>0.1</v>
          </cell>
          <cell r="AE526" t="str">
            <v>Clean</v>
          </cell>
          <cell r="AF526" t="str">
            <v>Match</v>
          </cell>
          <cell r="AG526" t="str">
            <v>Match</v>
          </cell>
        </row>
        <row r="527">
          <cell r="B527">
            <v>45582</v>
          </cell>
          <cell r="D527">
            <v>0</v>
          </cell>
          <cell r="Y527">
            <v>0.1</v>
          </cell>
          <cell r="AE527" t="str">
            <v>Clean</v>
          </cell>
          <cell r="AF527" t="str">
            <v>Match</v>
          </cell>
          <cell r="AG527" t="str">
            <v>Match</v>
          </cell>
        </row>
        <row r="528">
          <cell r="B528">
            <v>45856</v>
          </cell>
          <cell r="D528">
            <v>3</v>
          </cell>
          <cell r="Y528">
            <v>0</v>
          </cell>
          <cell r="AE528" t="str">
            <v>Clean</v>
          </cell>
          <cell r="AF528" t="str">
            <v>Mismatch</v>
          </cell>
          <cell r="AG528" t="str">
            <v>Mismatch</v>
          </cell>
        </row>
        <row r="529">
          <cell r="B529">
            <v>45931</v>
          </cell>
          <cell r="D529">
            <v>4</v>
          </cell>
          <cell r="Y529">
            <v>0.15</v>
          </cell>
          <cell r="AE529" t="str">
            <v>Clean</v>
          </cell>
          <cell r="AF529" t="str">
            <v>Match</v>
          </cell>
          <cell r="AG529" t="str">
            <v>Match</v>
          </cell>
        </row>
        <row r="530">
          <cell r="B530">
            <v>45572</v>
          </cell>
          <cell r="D530">
            <v>2</v>
          </cell>
          <cell r="Y530">
            <v>0.05</v>
          </cell>
          <cell r="AE530" t="str">
            <v>Clean</v>
          </cell>
          <cell r="AF530" t="str">
            <v>Match</v>
          </cell>
          <cell r="AG530" t="str">
            <v>Match</v>
          </cell>
        </row>
        <row r="531">
          <cell r="B531">
            <v>45328</v>
          </cell>
          <cell r="D531">
            <v>2</v>
          </cell>
          <cell r="Y531">
            <v>0</v>
          </cell>
          <cell r="AE531" t="str">
            <v>Clean</v>
          </cell>
          <cell r="AF531" t="str">
            <v>Match</v>
          </cell>
          <cell r="AG531" t="str">
            <v>Match</v>
          </cell>
        </row>
        <row r="532">
          <cell r="B532">
            <v>45807</v>
          </cell>
          <cell r="D532">
            <v>2</v>
          </cell>
          <cell r="Y532">
            <v>0.05</v>
          </cell>
          <cell r="AE532" t="str">
            <v>Clean</v>
          </cell>
          <cell r="AF532" t="str">
            <v>Match</v>
          </cell>
          <cell r="AG532" t="str">
            <v>Match</v>
          </cell>
        </row>
        <row r="533">
          <cell r="B533">
            <v>45505</v>
          </cell>
          <cell r="D533">
            <v>7</v>
          </cell>
          <cell r="Y533">
            <v>0.1</v>
          </cell>
          <cell r="AE533" t="str">
            <v>Clean</v>
          </cell>
          <cell r="AF533" t="str">
            <v>Match</v>
          </cell>
          <cell r="AG533" t="str">
            <v>Match</v>
          </cell>
        </row>
        <row r="534">
          <cell r="B534">
            <v>45935</v>
          </cell>
          <cell r="D534">
            <v>5</v>
          </cell>
          <cell r="Y534">
            <v>0.05</v>
          </cell>
          <cell r="AE534" t="str">
            <v>Clean</v>
          </cell>
          <cell r="AF534" t="str">
            <v>Match</v>
          </cell>
          <cell r="AG534" t="str">
            <v>Match</v>
          </cell>
        </row>
        <row r="535">
          <cell r="B535">
            <v>45529</v>
          </cell>
          <cell r="D535">
            <v>7</v>
          </cell>
          <cell r="Y535">
            <v>0.25</v>
          </cell>
          <cell r="AE535" t="str">
            <v>Clean</v>
          </cell>
          <cell r="AF535" t="str">
            <v>Match</v>
          </cell>
          <cell r="AG535" t="str">
            <v>Mismatch</v>
          </cell>
        </row>
        <row r="536">
          <cell r="B536">
            <v>45774</v>
          </cell>
          <cell r="D536">
            <v>8</v>
          </cell>
          <cell r="Y536">
            <v>0.1</v>
          </cell>
          <cell r="AE536" t="str">
            <v>Clean</v>
          </cell>
          <cell r="AF536" t="str">
            <v>Match</v>
          </cell>
          <cell r="AG536" t="str">
            <v>Match</v>
          </cell>
        </row>
        <row r="537">
          <cell r="B537">
            <v>45431</v>
          </cell>
          <cell r="D537">
            <v>2</v>
          </cell>
          <cell r="Y537">
            <v>0.2</v>
          </cell>
          <cell r="AE537" t="str">
            <v>Clean</v>
          </cell>
          <cell r="AF537" t="str">
            <v>Match</v>
          </cell>
          <cell r="AG537" t="str">
            <v>Match</v>
          </cell>
        </row>
        <row r="538">
          <cell r="B538">
            <v>45757</v>
          </cell>
          <cell r="D538">
            <v>7</v>
          </cell>
          <cell r="Y538">
            <v>0.25</v>
          </cell>
          <cell r="AE538" t="str">
            <v>Clean</v>
          </cell>
          <cell r="AF538" t="str">
            <v>Match</v>
          </cell>
          <cell r="AG538" t="str">
            <v>Match</v>
          </cell>
        </row>
        <row r="539">
          <cell r="B539">
            <v>45313</v>
          </cell>
          <cell r="D539">
            <v>8</v>
          </cell>
          <cell r="Y539">
            <v>0.05</v>
          </cell>
          <cell r="AE539" t="str">
            <v>Clean</v>
          </cell>
          <cell r="AF539" t="str">
            <v>Match</v>
          </cell>
          <cell r="AG539" t="str">
            <v>Match</v>
          </cell>
        </row>
        <row r="540">
          <cell r="B540">
            <v>45560</v>
          </cell>
          <cell r="D540">
            <v>6</v>
          </cell>
          <cell r="Y540">
            <v>0.15</v>
          </cell>
          <cell r="AE540" t="str">
            <v>Clean</v>
          </cell>
          <cell r="AF540" t="str">
            <v>Match</v>
          </cell>
          <cell r="AG540" t="str">
            <v>Match</v>
          </cell>
        </row>
        <row r="541">
          <cell r="B541">
            <v>45842</v>
          </cell>
          <cell r="D541">
            <v>0</v>
          </cell>
          <cell r="Y541">
            <v>0.1</v>
          </cell>
          <cell r="AE541" t="str">
            <v>Clean</v>
          </cell>
          <cell r="AF541" t="str">
            <v>Match</v>
          </cell>
          <cell r="AG541" t="str">
            <v>Match</v>
          </cell>
        </row>
        <row r="542">
          <cell r="B542">
            <v>45348</v>
          </cell>
          <cell r="D542">
            <v>-3</v>
          </cell>
          <cell r="Y542">
            <v>0.2</v>
          </cell>
          <cell r="AE542" t="str">
            <v>Invalid</v>
          </cell>
          <cell r="AF542" t="str">
            <v>Match</v>
          </cell>
          <cell r="AG542" t="str">
            <v>Match</v>
          </cell>
        </row>
        <row r="543">
          <cell r="B543">
            <v>45846</v>
          </cell>
          <cell r="D543">
            <v>1</v>
          </cell>
          <cell r="Y543">
            <v>0</v>
          </cell>
          <cell r="AE543" t="str">
            <v>Clean</v>
          </cell>
          <cell r="AF543" t="str">
            <v>Match</v>
          </cell>
          <cell r="AG543" t="str">
            <v>Match</v>
          </cell>
        </row>
        <row r="544">
          <cell r="B544">
            <v>45552</v>
          </cell>
          <cell r="D544">
            <v>6</v>
          </cell>
          <cell r="Y544">
            <v>0.2</v>
          </cell>
          <cell r="AE544" t="str">
            <v>Clean</v>
          </cell>
          <cell r="AF544" t="str">
            <v>Mismatch</v>
          </cell>
          <cell r="AG544" t="str">
            <v>Match</v>
          </cell>
        </row>
        <row r="545">
          <cell r="B545">
            <v>45487</v>
          </cell>
          <cell r="D545">
            <v>6</v>
          </cell>
          <cell r="Y545">
            <v>0.15</v>
          </cell>
          <cell r="AE545" t="str">
            <v>Clean</v>
          </cell>
          <cell r="AF545" t="str">
            <v>Match</v>
          </cell>
          <cell r="AG545" t="str">
            <v>Match</v>
          </cell>
        </row>
        <row r="546">
          <cell r="B546">
            <v>45686</v>
          </cell>
          <cell r="D546">
            <v>7</v>
          </cell>
          <cell r="Y546">
            <v>0.25</v>
          </cell>
          <cell r="AE546" t="str">
            <v>Clean</v>
          </cell>
          <cell r="AF546" t="str">
            <v>Match</v>
          </cell>
          <cell r="AG546" t="str">
            <v>Match</v>
          </cell>
        </row>
        <row r="547">
          <cell r="B547">
            <v>45439</v>
          </cell>
          <cell r="D547">
            <v>3</v>
          </cell>
          <cell r="Y547">
            <v>0.15</v>
          </cell>
          <cell r="AE547" t="str">
            <v>Clean</v>
          </cell>
          <cell r="AF547" t="str">
            <v>Match</v>
          </cell>
          <cell r="AG547" t="str">
            <v>Match</v>
          </cell>
        </row>
        <row r="548">
          <cell r="B548">
            <v>45883</v>
          </cell>
          <cell r="D548">
            <v>8</v>
          </cell>
          <cell r="Y548">
            <v>0.15</v>
          </cell>
          <cell r="AE548" t="str">
            <v>Clean</v>
          </cell>
          <cell r="AF548" t="str">
            <v>Match</v>
          </cell>
          <cell r="AG548" t="str">
            <v>Mismatch</v>
          </cell>
        </row>
        <row r="549">
          <cell r="B549">
            <v>45428</v>
          </cell>
          <cell r="D549">
            <v>7</v>
          </cell>
          <cell r="Y549">
            <v>0.1</v>
          </cell>
          <cell r="AE549" t="str">
            <v>Clean</v>
          </cell>
          <cell r="AF549" t="str">
            <v>Match</v>
          </cell>
          <cell r="AG549" t="str">
            <v>Match</v>
          </cell>
        </row>
        <row r="550">
          <cell r="B550">
            <v>45441</v>
          </cell>
          <cell r="D550">
            <v>0</v>
          </cell>
          <cell r="Y550">
            <v>0</v>
          </cell>
          <cell r="AE550" t="str">
            <v>Clean</v>
          </cell>
          <cell r="AF550" t="str">
            <v>Match</v>
          </cell>
          <cell r="AG550" t="str">
            <v>Match</v>
          </cell>
        </row>
        <row r="551">
          <cell r="B551">
            <v>45941</v>
          </cell>
          <cell r="D551">
            <v>2</v>
          </cell>
          <cell r="Y551">
            <v>0.1</v>
          </cell>
          <cell r="AE551" t="str">
            <v>Clean</v>
          </cell>
          <cell r="AF551" t="str">
            <v>Match</v>
          </cell>
          <cell r="AG551" t="str">
            <v>Match</v>
          </cell>
        </row>
        <row r="552">
          <cell r="B552">
            <v>45506</v>
          </cell>
          <cell r="D552">
            <v>8</v>
          </cell>
          <cell r="Y552">
            <v>0.2</v>
          </cell>
          <cell r="AE552" t="str">
            <v>Clean</v>
          </cell>
          <cell r="AF552" t="str">
            <v>Match</v>
          </cell>
          <cell r="AG552" t="str">
            <v>Match</v>
          </cell>
        </row>
        <row r="553">
          <cell r="B553">
            <v>45349</v>
          </cell>
          <cell r="D553">
            <v>0</v>
          </cell>
          <cell r="Y553">
            <v>0.15</v>
          </cell>
          <cell r="AE553" t="str">
            <v>Clean</v>
          </cell>
          <cell r="AF553" t="str">
            <v>Match</v>
          </cell>
          <cell r="AG553" t="str">
            <v>Match</v>
          </cell>
        </row>
        <row r="554">
          <cell r="B554">
            <v>45681</v>
          </cell>
          <cell r="D554">
            <v>6</v>
          </cell>
          <cell r="Y554">
            <v>0.7</v>
          </cell>
          <cell r="AE554" t="str">
            <v>Clean</v>
          </cell>
          <cell r="AF554" t="str">
            <v>Mismatch</v>
          </cell>
          <cell r="AG554" t="str">
            <v>Mismatch</v>
          </cell>
        </row>
        <row r="555">
          <cell r="B555">
            <v>45772</v>
          </cell>
          <cell r="D555">
            <v>3</v>
          </cell>
          <cell r="Y555">
            <v>0.25</v>
          </cell>
          <cell r="AE555" t="str">
            <v>Clean</v>
          </cell>
          <cell r="AF555" t="str">
            <v>Match</v>
          </cell>
          <cell r="AG555" t="str">
            <v>Match</v>
          </cell>
        </row>
        <row r="556">
          <cell r="B556">
            <v>45577</v>
          </cell>
          <cell r="D556">
            <v>5</v>
          </cell>
          <cell r="Y556">
            <v>0.05</v>
          </cell>
          <cell r="AE556" t="str">
            <v>Clean</v>
          </cell>
          <cell r="AF556" t="str">
            <v>Match</v>
          </cell>
          <cell r="AG556" t="str">
            <v>Match</v>
          </cell>
        </row>
        <row r="557">
          <cell r="B557">
            <v>45692</v>
          </cell>
          <cell r="D557">
            <v>6</v>
          </cell>
          <cell r="Y557">
            <v>0.05</v>
          </cell>
          <cell r="AE557" t="str">
            <v>Clean</v>
          </cell>
          <cell r="AF557" t="str">
            <v>Match</v>
          </cell>
          <cell r="AG557" t="str">
            <v>Match</v>
          </cell>
        </row>
        <row r="558">
          <cell r="B558">
            <v>45466</v>
          </cell>
          <cell r="D558">
            <v>6</v>
          </cell>
          <cell r="Y558">
            <v>0</v>
          </cell>
          <cell r="AE558" t="str">
            <v>Clean</v>
          </cell>
          <cell r="AF558" t="str">
            <v>Match</v>
          </cell>
          <cell r="AG558" t="str">
            <v>Mismatch</v>
          </cell>
        </row>
        <row r="559">
          <cell r="B559">
            <v>45420</v>
          </cell>
          <cell r="D559">
            <v>6</v>
          </cell>
          <cell r="Y559">
            <v>0.05</v>
          </cell>
          <cell r="AE559" t="str">
            <v>Clean</v>
          </cell>
          <cell r="AF559" t="str">
            <v>Match</v>
          </cell>
          <cell r="AG559" t="str">
            <v>Match</v>
          </cell>
        </row>
        <row r="560">
          <cell r="B560">
            <v>45904</v>
          </cell>
          <cell r="D560">
            <v>0</v>
          </cell>
          <cell r="Y560">
            <v>0.2</v>
          </cell>
          <cell r="AE560" t="str">
            <v>Clean</v>
          </cell>
          <cell r="AF560" t="str">
            <v>Match</v>
          </cell>
          <cell r="AG560" t="str">
            <v>Match</v>
          </cell>
        </row>
        <row r="561">
          <cell r="B561">
            <v>45930</v>
          </cell>
          <cell r="D561">
            <v>7</v>
          </cell>
          <cell r="Y561">
            <v>0.1</v>
          </cell>
          <cell r="AE561" t="str">
            <v>Clean</v>
          </cell>
          <cell r="AF561" t="str">
            <v>Match</v>
          </cell>
          <cell r="AG561" t="str">
            <v>Match</v>
          </cell>
        </row>
        <row r="562">
          <cell r="B562">
            <v>45307</v>
          </cell>
          <cell r="D562">
            <v>6</v>
          </cell>
          <cell r="Y562">
            <v>0</v>
          </cell>
          <cell r="AE562" t="str">
            <v>Clean</v>
          </cell>
          <cell r="AF562" t="str">
            <v>Match</v>
          </cell>
          <cell r="AG562" t="str">
            <v>Match</v>
          </cell>
        </row>
        <row r="563">
          <cell r="B563">
            <v>45852</v>
          </cell>
          <cell r="D563">
            <v>4</v>
          </cell>
          <cell r="Y563">
            <v>0</v>
          </cell>
          <cell r="AE563" t="str">
            <v>Clean</v>
          </cell>
          <cell r="AF563" t="str">
            <v>Match</v>
          </cell>
          <cell r="AG563" t="str">
            <v>Match</v>
          </cell>
        </row>
        <row r="564">
          <cell r="B564">
            <v>45422</v>
          </cell>
          <cell r="D564">
            <v>6</v>
          </cell>
          <cell r="Y564">
            <v>0.2</v>
          </cell>
          <cell r="AE564" t="str">
            <v>Clean</v>
          </cell>
          <cell r="AF564" t="str">
            <v>Match</v>
          </cell>
          <cell r="AG564" t="str">
            <v>Match</v>
          </cell>
        </row>
        <row r="565">
          <cell r="B565">
            <v>45418</v>
          </cell>
          <cell r="D565">
            <v>6</v>
          </cell>
          <cell r="Y565">
            <v>0.2</v>
          </cell>
          <cell r="AE565" t="str">
            <v>Clean</v>
          </cell>
          <cell r="AF565" t="str">
            <v>Match</v>
          </cell>
          <cell r="AG565" t="str">
            <v>Match</v>
          </cell>
        </row>
        <row r="566">
          <cell r="B566">
            <v>45606</v>
          </cell>
          <cell r="D566">
            <v>4</v>
          </cell>
          <cell r="Y566">
            <v>0.2</v>
          </cell>
          <cell r="AE566" t="str">
            <v>Clean</v>
          </cell>
          <cell r="AF566" t="str">
            <v>Match</v>
          </cell>
          <cell r="AG566" t="str">
            <v>Match</v>
          </cell>
        </row>
        <row r="567">
          <cell r="B567">
            <v>45876</v>
          </cell>
          <cell r="D567">
            <v>6</v>
          </cell>
          <cell r="Y567">
            <v>0.2</v>
          </cell>
          <cell r="AE567" t="str">
            <v>Clean</v>
          </cell>
          <cell r="AF567" t="str">
            <v>Match</v>
          </cell>
          <cell r="AG567" t="str">
            <v>Match</v>
          </cell>
        </row>
        <row r="568">
          <cell r="B568">
            <v>45515</v>
          </cell>
          <cell r="D568">
            <v>8</v>
          </cell>
          <cell r="Y568">
            <v>0.1</v>
          </cell>
          <cell r="AE568" t="str">
            <v>Clean</v>
          </cell>
          <cell r="AF568" t="str">
            <v>Match</v>
          </cell>
          <cell r="AG568" t="str">
            <v>Match</v>
          </cell>
        </row>
        <row r="569">
          <cell r="B569">
            <v>45328</v>
          </cell>
          <cell r="D569">
            <v>4</v>
          </cell>
          <cell r="Y569">
            <v>0.05</v>
          </cell>
          <cell r="AE569" t="str">
            <v>Clean</v>
          </cell>
          <cell r="AF569" t="str">
            <v>Match</v>
          </cell>
          <cell r="AG569" t="str">
            <v>Match</v>
          </cell>
        </row>
        <row r="570">
          <cell r="B570">
            <v>45312</v>
          </cell>
          <cell r="D570">
            <v>3</v>
          </cell>
          <cell r="Y570">
            <v>0.25</v>
          </cell>
          <cell r="AE570" t="str">
            <v>Clean</v>
          </cell>
          <cell r="AF570" t="str">
            <v>Match</v>
          </cell>
          <cell r="AG570" t="str">
            <v>Match</v>
          </cell>
        </row>
        <row r="571">
          <cell r="B571">
            <v>45908</v>
          </cell>
          <cell r="D571">
            <v>2</v>
          </cell>
          <cell r="Y571">
            <v>0.25</v>
          </cell>
          <cell r="AE571" t="str">
            <v>Clean</v>
          </cell>
          <cell r="AF571" t="str">
            <v>Match</v>
          </cell>
          <cell r="AG571" t="str">
            <v>Match</v>
          </cell>
        </row>
        <row r="572">
          <cell r="B572">
            <v>45887</v>
          </cell>
          <cell r="D572">
            <v>4</v>
          </cell>
          <cell r="Y572">
            <v>0.25</v>
          </cell>
          <cell r="AE572" t="str">
            <v>Clean</v>
          </cell>
          <cell r="AF572" t="str">
            <v>Match</v>
          </cell>
          <cell r="AG572" t="str">
            <v>Match</v>
          </cell>
        </row>
        <row r="573">
          <cell r="B573">
            <v>45698</v>
          </cell>
          <cell r="D573">
            <v>4</v>
          </cell>
          <cell r="Y573">
            <v>0</v>
          </cell>
          <cell r="AE573" t="str">
            <v>Warning</v>
          </cell>
          <cell r="AF573" t="str">
            <v>Match</v>
          </cell>
          <cell r="AG573" t="str">
            <v>Match</v>
          </cell>
        </row>
        <row r="574">
          <cell r="B574">
            <v>45293</v>
          </cell>
          <cell r="D574">
            <v>7</v>
          </cell>
          <cell r="Y574">
            <v>0.2</v>
          </cell>
          <cell r="AE574" t="str">
            <v>Clean</v>
          </cell>
          <cell r="AF574" t="str">
            <v>Match</v>
          </cell>
          <cell r="AG574" t="str">
            <v>Match</v>
          </cell>
        </row>
        <row r="575">
          <cell r="B575">
            <v>45922</v>
          </cell>
          <cell r="D575">
            <v>4</v>
          </cell>
          <cell r="Y575">
            <v>0</v>
          </cell>
          <cell r="AE575" t="str">
            <v>Clean</v>
          </cell>
          <cell r="AF575" t="str">
            <v>Match</v>
          </cell>
          <cell r="AG575" t="str">
            <v>Match</v>
          </cell>
        </row>
        <row r="576">
          <cell r="B576">
            <v>45342</v>
          </cell>
          <cell r="D576">
            <v>5</v>
          </cell>
          <cell r="Y576">
            <v>0</v>
          </cell>
          <cell r="AE576" t="str">
            <v>Clean</v>
          </cell>
          <cell r="AF576" t="str">
            <v>Match</v>
          </cell>
          <cell r="AG576" t="str">
            <v>Match</v>
          </cell>
        </row>
        <row r="577">
          <cell r="B577">
            <v>45727</v>
          </cell>
          <cell r="D577">
            <v>3</v>
          </cell>
          <cell r="Y577">
            <v>0.2</v>
          </cell>
          <cell r="AE577" t="str">
            <v>Clean</v>
          </cell>
          <cell r="AF577" t="str">
            <v>Match</v>
          </cell>
          <cell r="AG577" t="str">
            <v>Match</v>
          </cell>
        </row>
        <row r="578">
          <cell r="B578">
            <v>45339</v>
          </cell>
          <cell r="D578">
            <v>6</v>
          </cell>
          <cell r="Y578">
            <v>0</v>
          </cell>
          <cell r="AE578" t="str">
            <v>Clean</v>
          </cell>
          <cell r="AF578" t="str">
            <v>Match</v>
          </cell>
          <cell r="AG578" t="str">
            <v>Match</v>
          </cell>
        </row>
        <row r="579">
          <cell r="B579">
            <v>45897</v>
          </cell>
          <cell r="D579">
            <v>6</v>
          </cell>
          <cell r="Y579">
            <v>0</v>
          </cell>
          <cell r="AE579" t="str">
            <v>Clean</v>
          </cell>
          <cell r="AF579" t="str">
            <v>Match</v>
          </cell>
          <cell r="AG579" t="str">
            <v>Match</v>
          </cell>
        </row>
        <row r="580">
          <cell r="B580">
            <v>45343</v>
          </cell>
          <cell r="D580">
            <v>2</v>
          </cell>
          <cell r="Y580">
            <v>0.05</v>
          </cell>
          <cell r="AE580" t="str">
            <v>Clean</v>
          </cell>
          <cell r="AF580" t="str">
            <v>Match</v>
          </cell>
          <cell r="AG580" t="str">
            <v>Match</v>
          </cell>
        </row>
        <row r="581">
          <cell r="B581">
            <v>45462</v>
          </cell>
          <cell r="D581">
            <v>5</v>
          </cell>
          <cell r="Y581">
            <v>0</v>
          </cell>
          <cell r="AE581" t="str">
            <v>Clean</v>
          </cell>
          <cell r="AF581" t="str">
            <v>Match</v>
          </cell>
          <cell r="AG581" t="str">
            <v>Match</v>
          </cell>
        </row>
        <row r="582">
          <cell r="B582">
            <v>45722</v>
          </cell>
          <cell r="D582">
            <v>7</v>
          </cell>
          <cell r="Y582">
            <v>0.15</v>
          </cell>
          <cell r="AE582" t="str">
            <v>Clean</v>
          </cell>
          <cell r="AF582" t="str">
            <v>Match</v>
          </cell>
          <cell r="AG582" t="str">
            <v>Match</v>
          </cell>
        </row>
        <row r="583">
          <cell r="B583">
            <v>45878</v>
          </cell>
          <cell r="D583">
            <v>1</v>
          </cell>
          <cell r="Y583">
            <v>0</v>
          </cell>
          <cell r="AE583" t="str">
            <v>Clean</v>
          </cell>
          <cell r="AF583" t="str">
            <v>Match</v>
          </cell>
          <cell r="AG583" t="str">
            <v>Match</v>
          </cell>
        </row>
        <row r="584">
          <cell r="B584">
            <v>45580</v>
          </cell>
          <cell r="D584">
            <v>5</v>
          </cell>
          <cell r="Y584">
            <v>0</v>
          </cell>
          <cell r="AE584" t="str">
            <v>Clean</v>
          </cell>
          <cell r="AF584" t="str">
            <v>Match</v>
          </cell>
          <cell r="AG584" t="str">
            <v>Match</v>
          </cell>
        </row>
        <row r="585">
          <cell r="B585">
            <v>45350</v>
          </cell>
          <cell r="D585">
            <v>0</v>
          </cell>
          <cell r="Y585">
            <v>0.2</v>
          </cell>
          <cell r="AE585" t="str">
            <v>Clean</v>
          </cell>
          <cell r="AF585" t="str">
            <v>Match</v>
          </cell>
          <cell r="AG585" t="str">
            <v>Match</v>
          </cell>
        </row>
        <row r="586">
          <cell r="B586">
            <v>45508</v>
          </cell>
          <cell r="D586">
            <v>6</v>
          </cell>
          <cell r="Y586">
            <v>0.15</v>
          </cell>
          <cell r="AE586" t="str">
            <v>Clean</v>
          </cell>
          <cell r="AF586" t="str">
            <v>Match</v>
          </cell>
          <cell r="AG586" t="str">
            <v>Match</v>
          </cell>
        </row>
        <row r="587">
          <cell r="B587">
            <v>45830</v>
          </cell>
          <cell r="D587">
            <v>3</v>
          </cell>
          <cell r="Y587">
            <v>0</v>
          </cell>
          <cell r="AE587" t="str">
            <v>Clean</v>
          </cell>
          <cell r="AF587" t="str">
            <v>Match</v>
          </cell>
          <cell r="AG587" t="str">
            <v>Match</v>
          </cell>
        </row>
        <row r="588">
          <cell r="B588">
            <v>45759</v>
          </cell>
          <cell r="D588">
            <v>0</v>
          </cell>
          <cell r="Y588">
            <v>0.2</v>
          </cell>
          <cell r="AE588" t="str">
            <v>Clean</v>
          </cell>
          <cell r="AF588" t="str">
            <v>Match</v>
          </cell>
          <cell r="AG588" t="str">
            <v>Match</v>
          </cell>
        </row>
        <row r="589">
          <cell r="B589">
            <v>45861</v>
          </cell>
          <cell r="D589">
            <v>8</v>
          </cell>
          <cell r="Y589">
            <v>0.15</v>
          </cell>
          <cell r="AE589" t="str">
            <v>Clean</v>
          </cell>
          <cell r="AF589" t="str">
            <v>Match</v>
          </cell>
          <cell r="AG589" t="str">
            <v>Match</v>
          </cell>
        </row>
        <row r="590">
          <cell r="B590">
            <v>45727</v>
          </cell>
          <cell r="D590">
            <v>4</v>
          </cell>
          <cell r="Y590">
            <v>0.1</v>
          </cell>
          <cell r="AE590" t="str">
            <v>Clean</v>
          </cell>
          <cell r="AF590" t="str">
            <v>Match</v>
          </cell>
          <cell r="AG590" t="str">
            <v>Match</v>
          </cell>
        </row>
        <row r="591">
          <cell r="B591">
            <v>45632</v>
          </cell>
          <cell r="D591">
            <v>6</v>
          </cell>
          <cell r="Y591">
            <v>0</v>
          </cell>
          <cell r="AE591" t="str">
            <v>Clean</v>
          </cell>
          <cell r="AF591" t="str">
            <v>Match</v>
          </cell>
          <cell r="AG591" t="str">
            <v>Match</v>
          </cell>
        </row>
        <row r="592">
          <cell r="B592">
            <v>45441</v>
          </cell>
          <cell r="D592">
            <v>0</v>
          </cell>
          <cell r="Y592">
            <v>0</v>
          </cell>
          <cell r="AE592" t="str">
            <v>Clean</v>
          </cell>
          <cell r="AF592" t="str">
            <v>Match</v>
          </cell>
          <cell r="AG592" t="str">
            <v>Match</v>
          </cell>
        </row>
        <row r="593">
          <cell r="B593">
            <v>45344</v>
          </cell>
          <cell r="D593">
            <v>2</v>
          </cell>
          <cell r="Y593">
            <v>0</v>
          </cell>
          <cell r="AE593" t="str">
            <v>Clean</v>
          </cell>
          <cell r="AF593" t="str">
            <v>Match</v>
          </cell>
          <cell r="AG593" t="str">
            <v>Match</v>
          </cell>
        </row>
        <row r="594">
          <cell r="B594">
            <v>45355</v>
          </cell>
          <cell r="D594">
            <v>5</v>
          </cell>
          <cell r="Y594">
            <v>0.15</v>
          </cell>
          <cell r="AE594" t="str">
            <v>Clean</v>
          </cell>
          <cell r="AF594" t="str">
            <v>Match</v>
          </cell>
          <cell r="AG594" t="str">
            <v>Match</v>
          </cell>
        </row>
        <row r="595">
          <cell r="B595">
            <v>45927</v>
          </cell>
          <cell r="D595">
            <v>2</v>
          </cell>
          <cell r="Y595">
            <v>0.25</v>
          </cell>
          <cell r="AE595" t="str">
            <v>Clean</v>
          </cell>
          <cell r="AF595" t="str">
            <v>Match</v>
          </cell>
          <cell r="AG595" t="str">
            <v>Match</v>
          </cell>
        </row>
        <row r="596">
          <cell r="B596">
            <v>45554</v>
          </cell>
          <cell r="D596">
            <v>2</v>
          </cell>
          <cell r="Y596">
            <v>0</v>
          </cell>
          <cell r="AE596" t="str">
            <v>Clean</v>
          </cell>
          <cell r="AF596" t="str">
            <v>Match</v>
          </cell>
          <cell r="AG596" t="str">
            <v>Match</v>
          </cell>
        </row>
        <row r="597">
          <cell r="B597">
            <v>45699</v>
          </cell>
          <cell r="D597">
            <v>5</v>
          </cell>
          <cell r="Y597">
            <v>0.1</v>
          </cell>
          <cell r="AE597" t="str">
            <v>Clean</v>
          </cell>
          <cell r="AF597" t="str">
            <v>Match</v>
          </cell>
          <cell r="AG597" t="str">
            <v>Match</v>
          </cell>
        </row>
        <row r="598">
          <cell r="B598">
            <v>45392</v>
          </cell>
          <cell r="D598">
            <v>6</v>
          </cell>
          <cell r="Y598">
            <v>0.25</v>
          </cell>
          <cell r="AE598" t="str">
            <v>Clean</v>
          </cell>
          <cell r="AF598" t="str">
            <v>Match</v>
          </cell>
          <cell r="AG598" t="str">
            <v>Match</v>
          </cell>
        </row>
        <row r="599">
          <cell r="B599">
            <v>45846</v>
          </cell>
          <cell r="D599">
            <v>0</v>
          </cell>
          <cell r="Y599">
            <v>0.25</v>
          </cell>
          <cell r="AE599" t="str">
            <v>Clean</v>
          </cell>
          <cell r="AF599" t="str">
            <v>Match</v>
          </cell>
          <cell r="AG599" t="str">
            <v>Match</v>
          </cell>
        </row>
        <row r="600">
          <cell r="B600">
            <v>45521</v>
          </cell>
          <cell r="D600">
            <v>7</v>
          </cell>
          <cell r="Y600">
            <v>0.25</v>
          </cell>
          <cell r="AE600" t="str">
            <v>Clean</v>
          </cell>
          <cell r="AF600" t="str">
            <v>Match</v>
          </cell>
          <cell r="AG600" t="str">
            <v>Match</v>
          </cell>
        </row>
        <row r="601">
          <cell r="B601">
            <v>45523</v>
          </cell>
          <cell r="D601">
            <v>2</v>
          </cell>
          <cell r="Y601">
            <v>0.25</v>
          </cell>
          <cell r="AE601" t="str">
            <v>Clean</v>
          </cell>
          <cell r="AF601" t="str">
            <v>Match</v>
          </cell>
          <cell r="AG601" t="str">
            <v>Match</v>
          </cell>
        </row>
        <row r="602">
          <cell r="B602">
            <v>45721</v>
          </cell>
          <cell r="D602">
            <v>7</v>
          </cell>
          <cell r="Y602">
            <v>0</v>
          </cell>
          <cell r="AE602" t="str">
            <v>Clean</v>
          </cell>
          <cell r="AF602" t="str">
            <v>Match</v>
          </cell>
          <cell r="AG602" t="str">
            <v>Match</v>
          </cell>
        </row>
        <row r="603">
          <cell r="B603">
            <v>45317</v>
          </cell>
          <cell r="D603">
            <v>5</v>
          </cell>
          <cell r="Y603">
            <v>0.2</v>
          </cell>
          <cell r="AE603" t="str">
            <v>Clean</v>
          </cell>
          <cell r="AF603" t="str">
            <v>Match</v>
          </cell>
          <cell r="AG603" t="str">
            <v>Match</v>
          </cell>
        </row>
        <row r="604">
          <cell r="B604">
            <v>45588</v>
          </cell>
          <cell r="D604">
            <v>7</v>
          </cell>
          <cell r="Y604">
            <v>0.15</v>
          </cell>
          <cell r="AE604" t="str">
            <v>Clean</v>
          </cell>
          <cell r="AF604" t="str">
            <v>Match</v>
          </cell>
          <cell r="AG604" t="str">
            <v>Match</v>
          </cell>
        </row>
        <row r="605">
          <cell r="B605">
            <v>45660</v>
          </cell>
          <cell r="D605">
            <v>8</v>
          </cell>
          <cell r="Y605">
            <v>0.05</v>
          </cell>
          <cell r="AE605" t="str">
            <v>Clean</v>
          </cell>
          <cell r="AF605" t="str">
            <v>Match</v>
          </cell>
          <cell r="AG605" t="str">
            <v>Match</v>
          </cell>
        </row>
        <row r="606">
          <cell r="B606">
            <v>45693</v>
          </cell>
          <cell r="D606">
            <v>1</v>
          </cell>
          <cell r="Y606">
            <v>0</v>
          </cell>
          <cell r="AE606" t="str">
            <v>Clean</v>
          </cell>
          <cell r="AF606" t="str">
            <v>Match</v>
          </cell>
          <cell r="AG606" t="str">
            <v>Match</v>
          </cell>
        </row>
        <row r="607">
          <cell r="B607">
            <v>45847</v>
          </cell>
          <cell r="D607">
            <v>4</v>
          </cell>
          <cell r="Y607">
            <v>0.85</v>
          </cell>
          <cell r="AE607" t="str">
            <v>Clean</v>
          </cell>
          <cell r="AF607" t="str">
            <v>Mismatch</v>
          </cell>
          <cell r="AG607" t="str">
            <v>Mismatch</v>
          </cell>
        </row>
        <row r="608">
          <cell r="B608">
            <v>45710</v>
          </cell>
          <cell r="D608">
            <v>6</v>
          </cell>
          <cell r="Y608">
            <v>0.25</v>
          </cell>
          <cell r="AE608" t="str">
            <v>Clean</v>
          </cell>
          <cell r="AF608" t="str">
            <v>Match</v>
          </cell>
          <cell r="AG608" t="str">
            <v>Match</v>
          </cell>
        </row>
        <row r="609">
          <cell r="B609">
            <v>45704</v>
          </cell>
          <cell r="D609">
            <v>6</v>
          </cell>
          <cell r="Y609">
            <v>0.15</v>
          </cell>
          <cell r="AE609" t="str">
            <v>Clean</v>
          </cell>
          <cell r="AF609" t="str">
            <v>Match</v>
          </cell>
          <cell r="AG609" t="str">
            <v>Match</v>
          </cell>
        </row>
        <row r="610">
          <cell r="B610">
            <v>45464</v>
          </cell>
          <cell r="D610">
            <v>2</v>
          </cell>
          <cell r="Y610">
            <v>0</v>
          </cell>
          <cell r="AE610" t="str">
            <v>Clean</v>
          </cell>
          <cell r="AF610" t="str">
            <v>Match</v>
          </cell>
          <cell r="AG610" t="str">
            <v>Match</v>
          </cell>
        </row>
        <row r="611">
          <cell r="B611">
            <v>45665</v>
          </cell>
          <cell r="D611">
            <v>4</v>
          </cell>
          <cell r="Y611">
            <v>0</v>
          </cell>
          <cell r="AE611" t="str">
            <v>Clean</v>
          </cell>
          <cell r="AF611" t="str">
            <v>Match</v>
          </cell>
          <cell r="AG611" t="str">
            <v>Match</v>
          </cell>
        </row>
        <row r="612">
          <cell r="B612">
            <v>45432</v>
          </cell>
          <cell r="D612">
            <v>0</v>
          </cell>
          <cell r="Y612">
            <v>0.1</v>
          </cell>
          <cell r="AE612" t="str">
            <v>Clean</v>
          </cell>
          <cell r="AF612" t="str">
            <v>Match</v>
          </cell>
          <cell r="AG612" t="str">
            <v>Match</v>
          </cell>
        </row>
        <row r="613">
          <cell r="B613">
            <v>45846</v>
          </cell>
          <cell r="D613">
            <v>7</v>
          </cell>
          <cell r="Y613">
            <v>0.1</v>
          </cell>
          <cell r="AE613" t="str">
            <v>Clean</v>
          </cell>
          <cell r="AF613" t="str">
            <v>Match</v>
          </cell>
          <cell r="AG613" t="str">
            <v>Match</v>
          </cell>
        </row>
        <row r="614">
          <cell r="B614">
            <v>45753</v>
          </cell>
          <cell r="D614">
            <v>7</v>
          </cell>
          <cell r="Y614">
            <v>0</v>
          </cell>
          <cell r="AE614" t="str">
            <v>Clean</v>
          </cell>
          <cell r="AF614" t="str">
            <v>Match</v>
          </cell>
          <cell r="AG614" t="str">
            <v>Match</v>
          </cell>
        </row>
        <row r="615">
          <cell r="B615">
            <v>45570</v>
          </cell>
          <cell r="D615">
            <v>5</v>
          </cell>
          <cell r="Y615">
            <v>0.25</v>
          </cell>
          <cell r="AE615" t="str">
            <v>Clean</v>
          </cell>
          <cell r="AF615" t="str">
            <v>Match</v>
          </cell>
          <cell r="AG615" t="str">
            <v>Match</v>
          </cell>
        </row>
        <row r="616">
          <cell r="B616">
            <v>45333</v>
          </cell>
          <cell r="D616">
            <v>8</v>
          </cell>
          <cell r="Y616">
            <v>0.25</v>
          </cell>
          <cell r="AE616" t="str">
            <v>Clean</v>
          </cell>
          <cell r="AF616" t="str">
            <v>Match</v>
          </cell>
          <cell r="AG616" t="str">
            <v>Match</v>
          </cell>
        </row>
        <row r="617">
          <cell r="B617">
            <v>45569</v>
          </cell>
          <cell r="D617">
            <v>3</v>
          </cell>
          <cell r="Y617">
            <v>0.1</v>
          </cell>
          <cell r="AE617" t="str">
            <v>Clean</v>
          </cell>
          <cell r="AF617" t="str">
            <v>Mismatch</v>
          </cell>
          <cell r="AG617" t="str">
            <v>Match</v>
          </cell>
        </row>
        <row r="618">
          <cell r="B618">
            <v>45520</v>
          </cell>
          <cell r="D618">
            <v>3</v>
          </cell>
          <cell r="Y618">
            <v>0.2</v>
          </cell>
          <cell r="AE618" t="str">
            <v>Clean</v>
          </cell>
          <cell r="AF618" t="str">
            <v>Match</v>
          </cell>
          <cell r="AG618" t="str">
            <v>Match</v>
          </cell>
        </row>
        <row r="619">
          <cell r="B619">
            <v>45564</v>
          </cell>
          <cell r="D619">
            <v>1</v>
          </cell>
          <cell r="Y619">
            <v>0</v>
          </cell>
          <cell r="AE619" t="str">
            <v>Clean</v>
          </cell>
          <cell r="AF619" t="str">
            <v>Match</v>
          </cell>
          <cell r="AG619" t="str">
            <v>Match</v>
          </cell>
        </row>
        <row r="620">
          <cell r="B620">
            <v>45496</v>
          </cell>
          <cell r="D620">
            <v>7</v>
          </cell>
          <cell r="Y620">
            <v>0.25</v>
          </cell>
          <cell r="AE620" t="str">
            <v>Clean</v>
          </cell>
          <cell r="AF620" t="str">
            <v>Match</v>
          </cell>
          <cell r="AG620" t="str">
            <v>Match</v>
          </cell>
        </row>
        <row r="621">
          <cell r="B621">
            <v>45618</v>
          </cell>
          <cell r="D621">
            <v>5</v>
          </cell>
          <cell r="Y621">
            <v>0.2</v>
          </cell>
          <cell r="AE621" t="str">
            <v>Clean</v>
          </cell>
          <cell r="AF621" t="str">
            <v>Match</v>
          </cell>
          <cell r="AG621" t="str">
            <v>Match</v>
          </cell>
        </row>
        <row r="622">
          <cell r="B622">
            <v>45522</v>
          </cell>
          <cell r="D622">
            <v>3</v>
          </cell>
          <cell r="Y622">
            <v>0</v>
          </cell>
          <cell r="AE622" t="str">
            <v>Clean</v>
          </cell>
          <cell r="AF622" t="str">
            <v>Match</v>
          </cell>
          <cell r="AG622" t="str">
            <v>Match</v>
          </cell>
        </row>
        <row r="623">
          <cell r="B623">
            <v>45624</v>
          </cell>
          <cell r="D623">
            <v>8</v>
          </cell>
          <cell r="Y623">
            <v>0</v>
          </cell>
          <cell r="AE623" t="str">
            <v>Clean</v>
          </cell>
          <cell r="AF623" t="str">
            <v>Match</v>
          </cell>
          <cell r="AG623" t="str">
            <v>Match</v>
          </cell>
        </row>
        <row r="624">
          <cell r="B624">
            <v>45686</v>
          </cell>
          <cell r="D624">
            <v>8</v>
          </cell>
          <cell r="Y624">
            <v>0.05</v>
          </cell>
          <cell r="AE624" t="str">
            <v>Clean</v>
          </cell>
          <cell r="AF624" t="str">
            <v>Match</v>
          </cell>
          <cell r="AG624" t="str">
            <v>Match</v>
          </cell>
        </row>
        <row r="625">
          <cell r="B625">
            <v>45512</v>
          </cell>
          <cell r="D625">
            <v>6</v>
          </cell>
          <cell r="Y625">
            <v>0.05</v>
          </cell>
          <cell r="AE625" t="str">
            <v>Clean</v>
          </cell>
          <cell r="AF625" t="str">
            <v>Match</v>
          </cell>
          <cell r="AG625" t="str">
            <v>Match</v>
          </cell>
        </row>
        <row r="626">
          <cell r="B626">
            <v>45321</v>
          </cell>
          <cell r="D626">
            <v>2</v>
          </cell>
          <cell r="Y626">
            <v>0.05</v>
          </cell>
          <cell r="AE626" t="str">
            <v>Clean</v>
          </cell>
          <cell r="AF626" t="str">
            <v>Match</v>
          </cell>
          <cell r="AG626" t="str">
            <v>Match</v>
          </cell>
        </row>
        <row r="627">
          <cell r="B627">
            <v>45641</v>
          </cell>
          <cell r="D627">
            <v>6</v>
          </cell>
          <cell r="Y627">
            <v>0.2</v>
          </cell>
          <cell r="AE627" t="str">
            <v>Clean</v>
          </cell>
          <cell r="AF627" t="str">
            <v>Match</v>
          </cell>
          <cell r="AG627" t="str">
            <v>Match</v>
          </cell>
        </row>
        <row r="628">
          <cell r="B628">
            <v>45812</v>
          </cell>
          <cell r="D628">
            <v>3</v>
          </cell>
          <cell r="Y628">
            <v>0</v>
          </cell>
          <cell r="AE628" t="str">
            <v>Clean</v>
          </cell>
          <cell r="AF628" t="str">
            <v>Match</v>
          </cell>
          <cell r="AG628" t="str">
            <v>Match</v>
          </cell>
        </row>
        <row r="629">
          <cell r="B629">
            <v>45701</v>
          </cell>
          <cell r="D629">
            <v>8</v>
          </cell>
          <cell r="Y629">
            <v>0.15</v>
          </cell>
          <cell r="AE629" t="str">
            <v>Clean</v>
          </cell>
          <cell r="AF629" t="str">
            <v>Match</v>
          </cell>
          <cell r="AG629" t="str">
            <v>Match</v>
          </cell>
        </row>
        <row r="630">
          <cell r="B630">
            <v>45935</v>
          </cell>
          <cell r="D630">
            <v>7</v>
          </cell>
          <cell r="Y630">
            <v>0.05</v>
          </cell>
          <cell r="AE630" t="str">
            <v>Clean</v>
          </cell>
          <cell r="AF630" t="str">
            <v>Match</v>
          </cell>
          <cell r="AG630" t="str">
            <v>Match</v>
          </cell>
        </row>
        <row r="631">
          <cell r="B631">
            <v>45910</v>
          </cell>
          <cell r="D631">
            <v>4</v>
          </cell>
          <cell r="Y631">
            <v>0.15</v>
          </cell>
          <cell r="AE631" t="str">
            <v>Clean</v>
          </cell>
          <cell r="AF631" t="str">
            <v>Match</v>
          </cell>
          <cell r="AG631" t="str">
            <v>Match</v>
          </cell>
        </row>
        <row r="632">
          <cell r="B632">
            <v>45391</v>
          </cell>
          <cell r="D632">
            <v>1</v>
          </cell>
          <cell r="Y632">
            <v>0.1</v>
          </cell>
          <cell r="AE632" t="str">
            <v>Clean</v>
          </cell>
          <cell r="AF632" t="str">
            <v>Match</v>
          </cell>
          <cell r="AG632" t="str">
            <v>Match</v>
          </cell>
        </row>
        <row r="633">
          <cell r="B633">
            <v>45392</v>
          </cell>
          <cell r="D633">
            <v>5</v>
          </cell>
          <cell r="Y633">
            <v>0.1</v>
          </cell>
          <cell r="AE633" t="str">
            <v>Clean</v>
          </cell>
          <cell r="AF633" t="str">
            <v>Match</v>
          </cell>
          <cell r="AG633" t="str">
            <v>Match</v>
          </cell>
        </row>
        <row r="634">
          <cell r="B634">
            <v>45762</v>
          </cell>
          <cell r="D634">
            <v>1</v>
          </cell>
          <cell r="Y634">
            <v>0</v>
          </cell>
          <cell r="AE634" t="str">
            <v>Clean</v>
          </cell>
          <cell r="AF634" t="str">
            <v>Match</v>
          </cell>
          <cell r="AG634" t="str">
            <v>Match</v>
          </cell>
        </row>
        <row r="635">
          <cell r="B635">
            <v>45765</v>
          </cell>
          <cell r="D635">
            <v>2</v>
          </cell>
          <cell r="Y635">
            <v>0.15</v>
          </cell>
          <cell r="AE635" t="str">
            <v>Clean</v>
          </cell>
          <cell r="AF635" t="str">
            <v>Match</v>
          </cell>
          <cell r="AG635" t="str">
            <v>Match</v>
          </cell>
        </row>
        <row r="636">
          <cell r="B636">
            <v>45668</v>
          </cell>
          <cell r="D636">
            <v>1</v>
          </cell>
          <cell r="Y636">
            <v>0.05</v>
          </cell>
          <cell r="AE636" t="str">
            <v>Clean</v>
          </cell>
          <cell r="AF636" t="str">
            <v>Match</v>
          </cell>
          <cell r="AG636" t="str">
            <v>Match</v>
          </cell>
        </row>
        <row r="637">
          <cell r="B637">
            <v>45432</v>
          </cell>
          <cell r="D637">
            <v>5</v>
          </cell>
          <cell r="Y637">
            <v>0.25</v>
          </cell>
          <cell r="AE637" t="str">
            <v>Clean</v>
          </cell>
          <cell r="AF637" t="str">
            <v>Match</v>
          </cell>
          <cell r="AG637" t="str">
            <v>Match</v>
          </cell>
        </row>
        <row r="638">
          <cell r="B638">
            <v>45567</v>
          </cell>
          <cell r="D638">
            <v>7</v>
          </cell>
          <cell r="Y638">
            <v>0.15</v>
          </cell>
          <cell r="AE638" t="str">
            <v>Clean</v>
          </cell>
          <cell r="AF638" t="str">
            <v>Match</v>
          </cell>
          <cell r="AG638" t="str">
            <v>Match</v>
          </cell>
        </row>
        <row r="639">
          <cell r="B639">
            <v>45438</v>
          </cell>
          <cell r="D639">
            <v>0</v>
          </cell>
          <cell r="Y639">
            <v>0.2</v>
          </cell>
          <cell r="AE639" t="str">
            <v>Clean</v>
          </cell>
          <cell r="AF639" t="str">
            <v>Match</v>
          </cell>
          <cell r="AG639" t="str">
            <v>Match</v>
          </cell>
        </row>
        <row r="640">
          <cell r="B640">
            <v>45317</v>
          </cell>
          <cell r="D640">
            <v>5</v>
          </cell>
          <cell r="Y640">
            <v>0.2</v>
          </cell>
          <cell r="AE640" t="str">
            <v>Clean</v>
          </cell>
          <cell r="AF640" t="str">
            <v>Match</v>
          </cell>
          <cell r="AG640" t="str">
            <v>Match</v>
          </cell>
        </row>
        <row r="641">
          <cell r="B641">
            <v>45653</v>
          </cell>
          <cell r="D641">
            <v>4</v>
          </cell>
          <cell r="Y641">
            <v>0.05</v>
          </cell>
          <cell r="AE641" t="str">
            <v>Clean</v>
          </cell>
          <cell r="AF641" t="str">
            <v>Match</v>
          </cell>
          <cell r="AG641" t="str">
            <v>Match</v>
          </cell>
        </row>
        <row r="642">
          <cell r="B642">
            <v>45671</v>
          </cell>
          <cell r="D642">
            <v>3</v>
          </cell>
          <cell r="Y642">
            <v>0.2</v>
          </cell>
          <cell r="AE642" t="str">
            <v>Clean</v>
          </cell>
          <cell r="AF642" t="str">
            <v>Match</v>
          </cell>
          <cell r="AG642" t="str">
            <v>Match</v>
          </cell>
        </row>
        <row r="643">
          <cell r="B643">
            <v>45756</v>
          </cell>
          <cell r="D643">
            <v>5</v>
          </cell>
          <cell r="Y643">
            <v>0</v>
          </cell>
          <cell r="AE643" t="str">
            <v>Clean</v>
          </cell>
          <cell r="AF643" t="str">
            <v>Match</v>
          </cell>
          <cell r="AG643" t="str">
            <v>Match</v>
          </cell>
        </row>
        <row r="644">
          <cell r="B644">
            <v>45533</v>
          </cell>
          <cell r="D644">
            <v>2</v>
          </cell>
          <cell r="Y644">
            <v>0.25</v>
          </cell>
          <cell r="AE644" t="str">
            <v>Clean</v>
          </cell>
          <cell r="AF644" t="str">
            <v>Match</v>
          </cell>
          <cell r="AG644" t="str">
            <v>Match</v>
          </cell>
        </row>
        <row r="645">
          <cell r="B645">
            <v>45327</v>
          </cell>
          <cell r="D645">
            <v>8</v>
          </cell>
          <cell r="Y645">
            <v>0.15</v>
          </cell>
          <cell r="AE645" t="str">
            <v>Clean</v>
          </cell>
          <cell r="AF645" t="str">
            <v>Match</v>
          </cell>
          <cell r="AG645" t="str">
            <v>Match</v>
          </cell>
        </row>
        <row r="646">
          <cell r="B646">
            <v>45757</v>
          </cell>
          <cell r="D646">
            <v>7</v>
          </cell>
          <cell r="Y646">
            <v>0.05</v>
          </cell>
          <cell r="AE646" t="str">
            <v>Clean</v>
          </cell>
          <cell r="AF646" t="str">
            <v>Match</v>
          </cell>
          <cell r="AG646" t="str">
            <v>Match</v>
          </cell>
        </row>
        <row r="647">
          <cell r="B647">
            <v>45295</v>
          </cell>
          <cell r="D647">
            <v>5</v>
          </cell>
          <cell r="Y647">
            <v>0.1</v>
          </cell>
          <cell r="AE647" t="str">
            <v>Clean</v>
          </cell>
          <cell r="AF647" t="str">
            <v>Match</v>
          </cell>
          <cell r="AG647" t="str">
            <v>Mismatch</v>
          </cell>
        </row>
        <row r="648">
          <cell r="B648">
            <v>45553</v>
          </cell>
          <cell r="D648">
            <v>6</v>
          </cell>
          <cell r="Y648">
            <v>0.25</v>
          </cell>
          <cell r="AE648" t="str">
            <v>Clean</v>
          </cell>
          <cell r="AF648" t="str">
            <v>Match</v>
          </cell>
          <cell r="AG648" t="str">
            <v>Match</v>
          </cell>
        </row>
        <row r="649">
          <cell r="B649">
            <v>45658</v>
          </cell>
          <cell r="D649">
            <v>8</v>
          </cell>
          <cell r="Y649">
            <v>0.15</v>
          </cell>
          <cell r="AE649" t="str">
            <v>Clean</v>
          </cell>
          <cell r="AF649" t="str">
            <v>Match</v>
          </cell>
          <cell r="AG649" t="str">
            <v>Match</v>
          </cell>
        </row>
        <row r="650">
          <cell r="B650">
            <v>45403</v>
          </cell>
          <cell r="D650">
            <v>3</v>
          </cell>
          <cell r="Y650">
            <v>0.2</v>
          </cell>
          <cell r="AE650" t="str">
            <v>Clean</v>
          </cell>
          <cell r="AF650" t="str">
            <v>Match</v>
          </cell>
          <cell r="AG650" t="str">
            <v>Match</v>
          </cell>
        </row>
        <row r="651">
          <cell r="B651">
            <v>45880</v>
          </cell>
          <cell r="D651">
            <v>8</v>
          </cell>
          <cell r="Y651">
            <v>0.25</v>
          </cell>
          <cell r="AE651" t="str">
            <v>Clean</v>
          </cell>
          <cell r="AF651" t="str">
            <v>Match</v>
          </cell>
          <cell r="AG651" t="str">
            <v>Match</v>
          </cell>
        </row>
        <row r="652">
          <cell r="B652">
            <v>45395</v>
          </cell>
          <cell r="D652">
            <v>8</v>
          </cell>
          <cell r="Y652">
            <v>0.15</v>
          </cell>
          <cell r="AE652" t="str">
            <v>Clean</v>
          </cell>
          <cell r="AF652" t="str">
            <v>Match</v>
          </cell>
          <cell r="AG652" t="str">
            <v>Match</v>
          </cell>
        </row>
        <row r="653">
          <cell r="B653">
            <v>45875</v>
          </cell>
          <cell r="D653">
            <v>3</v>
          </cell>
          <cell r="Y653">
            <v>0</v>
          </cell>
          <cell r="AE653" t="str">
            <v>Clean</v>
          </cell>
          <cell r="AF653" t="str">
            <v>Match</v>
          </cell>
          <cell r="AG653" t="str">
            <v>Match</v>
          </cell>
        </row>
        <row r="654">
          <cell r="B654">
            <v>45733</v>
          </cell>
          <cell r="D654">
            <v>4</v>
          </cell>
          <cell r="Y654">
            <v>0.15</v>
          </cell>
          <cell r="AE654" t="str">
            <v>Clean</v>
          </cell>
          <cell r="AF654" t="str">
            <v>Match</v>
          </cell>
          <cell r="AG654" t="str">
            <v>Match</v>
          </cell>
        </row>
        <row r="655">
          <cell r="B655">
            <v>45751</v>
          </cell>
          <cell r="D655">
            <v>3</v>
          </cell>
          <cell r="Y655">
            <v>0.15</v>
          </cell>
          <cell r="AE655" t="str">
            <v>Clean</v>
          </cell>
          <cell r="AF655" t="str">
            <v>Match</v>
          </cell>
          <cell r="AG655" t="str">
            <v>Match</v>
          </cell>
        </row>
        <row r="656">
          <cell r="B656">
            <v>45942</v>
          </cell>
          <cell r="D656">
            <v>4</v>
          </cell>
          <cell r="Y656">
            <v>0.2</v>
          </cell>
          <cell r="AE656" t="str">
            <v>Clean</v>
          </cell>
          <cell r="AF656" t="str">
            <v>Match</v>
          </cell>
          <cell r="AG656" t="str">
            <v>Match</v>
          </cell>
        </row>
        <row r="657">
          <cell r="B657">
            <v>45895</v>
          </cell>
          <cell r="D657">
            <v>0</v>
          </cell>
          <cell r="Y657">
            <v>0</v>
          </cell>
          <cell r="AE657" t="str">
            <v>Clean</v>
          </cell>
          <cell r="AF657" t="str">
            <v>Match</v>
          </cell>
          <cell r="AG657" t="str">
            <v>Match</v>
          </cell>
        </row>
        <row r="658">
          <cell r="B658">
            <v>45419</v>
          </cell>
          <cell r="D658">
            <v>7</v>
          </cell>
          <cell r="Y658">
            <v>-0.05</v>
          </cell>
          <cell r="AE658" t="str">
            <v>Invalid</v>
          </cell>
          <cell r="AF658" t="str">
            <v>Mismatch</v>
          </cell>
          <cell r="AG658" t="str">
            <v>Mismatch</v>
          </cell>
        </row>
        <row r="659">
          <cell r="B659">
            <v>45876</v>
          </cell>
          <cell r="D659">
            <v>3</v>
          </cell>
          <cell r="Y659">
            <v>0.2</v>
          </cell>
          <cell r="AE659" t="str">
            <v>Clean</v>
          </cell>
          <cell r="AF659" t="str">
            <v>Match</v>
          </cell>
          <cell r="AG659" t="str">
            <v>Match</v>
          </cell>
        </row>
        <row r="660">
          <cell r="B660">
            <v>45817</v>
          </cell>
          <cell r="D660">
            <v>3</v>
          </cell>
          <cell r="Y660">
            <v>0</v>
          </cell>
          <cell r="AE660" t="str">
            <v>Clean</v>
          </cell>
          <cell r="AF660" t="str">
            <v>Match</v>
          </cell>
          <cell r="AG660" t="str">
            <v>Match</v>
          </cell>
        </row>
        <row r="661">
          <cell r="B661">
            <v>45678</v>
          </cell>
          <cell r="D661">
            <v>1</v>
          </cell>
          <cell r="Y661">
            <v>0.2</v>
          </cell>
          <cell r="AE661" t="str">
            <v>Clean</v>
          </cell>
          <cell r="AF661" t="str">
            <v>Match</v>
          </cell>
          <cell r="AG661" t="str">
            <v>Match</v>
          </cell>
        </row>
        <row r="662">
          <cell r="B662">
            <v>45853</v>
          </cell>
          <cell r="D662">
            <v>0</v>
          </cell>
          <cell r="Y662">
            <v>0.1</v>
          </cell>
          <cell r="AE662" t="str">
            <v>Clean</v>
          </cell>
          <cell r="AF662" t="str">
            <v>Match</v>
          </cell>
          <cell r="AG662" t="str">
            <v>Match</v>
          </cell>
        </row>
        <row r="663">
          <cell r="B663">
            <v>45429</v>
          </cell>
          <cell r="D663">
            <v>5</v>
          </cell>
          <cell r="Y663">
            <v>0</v>
          </cell>
          <cell r="AE663" t="str">
            <v>Clean</v>
          </cell>
          <cell r="AF663" t="str">
            <v>Match</v>
          </cell>
          <cell r="AG663" t="str">
            <v>Match</v>
          </cell>
        </row>
        <row r="664">
          <cell r="B664">
            <v>45305</v>
          </cell>
          <cell r="D664">
            <v>4</v>
          </cell>
          <cell r="Y664">
            <v>0.1</v>
          </cell>
          <cell r="AE664" t="str">
            <v>Clean</v>
          </cell>
          <cell r="AF664" t="str">
            <v>Match</v>
          </cell>
          <cell r="AG664" t="str">
            <v>Match</v>
          </cell>
        </row>
        <row r="665">
          <cell r="B665">
            <v>45414</v>
          </cell>
          <cell r="D665">
            <v>6</v>
          </cell>
          <cell r="Y665">
            <v>-0.24</v>
          </cell>
          <cell r="AE665" t="str">
            <v>Invalid</v>
          </cell>
          <cell r="AF665" t="str">
            <v>Mismatch</v>
          </cell>
          <cell r="AG665" t="str">
            <v>Mismatch</v>
          </cell>
        </row>
        <row r="666">
          <cell r="B666">
            <v>45633</v>
          </cell>
          <cell r="D666">
            <v>3</v>
          </cell>
          <cell r="Y666">
            <v>0.2</v>
          </cell>
          <cell r="AE666" t="str">
            <v>Clean</v>
          </cell>
          <cell r="AF666" t="str">
            <v>Match</v>
          </cell>
          <cell r="AG666" t="str">
            <v>Match</v>
          </cell>
        </row>
        <row r="667">
          <cell r="B667">
            <v>45670</v>
          </cell>
          <cell r="D667">
            <v>0</v>
          </cell>
          <cell r="Y667">
            <v>0.1</v>
          </cell>
          <cell r="AE667" t="str">
            <v>Clean</v>
          </cell>
          <cell r="AF667" t="str">
            <v>Match</v>
          </cell>
          <cell r="AG667" t="str">
            <v>Match</v>
          </cell>
        </row>
        <row r="668">
          <cell r="B668">
            <v>45464</v>
          </cell>
          <cell r="D668">
            <v>5</v>
          </cell>
          <cell r="Y668">
            <v>0.05</v>
          </cell>
          <cell r="AE668" t="str">
            <v>Clean</v>
          </cell>
          <cell r="AF668" t="str">
            <v>Match</v>
          </cell>
          <cell r="AG668" t="str">
            <v>Match</v>
          </cell>
        </row>
        <row r="669">
          <cell r="B669">
            <v>45797</v>
          </cell>
          <cell r="D669">
            <v>7</v>
          </cell>
          <cell r="Y669">
            <v>0</v>
          </cell>
          <cell r="AE669" t="str">
            <v>Clean</v>
          </cell>
          <cell r="AF669" t="str">
            <v>Match</v>
          </cell>
          <cell r="AG669" t="str">
            <v>Match</v>
          </cell>
        </row>
        <row r="670">
          <cell r="B670">
            <v>45617</v>
          </cell>
          <cell r="D670">
            <v>2</v>
          </cell>
          <cell r="Y670">
            <v>0.2</v>
          </cell>
          <cell r="AE670" t="str">
            <v>Clean</v>
          </cell>
          <cell r="AF670" t="str">
            <v>Match</v>
          </cell>
          <cell r="AG670" t="str">
            <v>Match</v>
          </cell>
        </row>
        <row r="671">
          <cell r="B671">
            <v>45375</v>
          </cell>
          <cell r="D671">
            <v>8</v>
          </cell>
          <cell r="Y671">
            <v>0.25</v>
          </cell>
          <cell r="AE671" t="str">
            <v>Clean</v>
          </cell>
          <cell r="AF671" t="str">
            <v>Match</v>
          </cell>
          <cell r="AG671" t="str">
            <v>Match</v>
          </cell>
        </row>
        <row r="672">
          <cell r="B672">
            <v>45690</v>
          </cell>
          <cell r="D672">
            <v>4</v>
          </cell>
          <cell r="Y672">
            <v>0.1</v>
          </cell>
          <cell r="AE672" t="str">
            <v>Clean</v>
          </cell>
          <cell r="AF672" t="str">
            <v>Match</v>
          </cell>
          <cell r="AG672" t="str">
            <v>Match</v>
          </cell>
        </row>
        <row r="673">
          <cell r="B673">
            <v>45373</v>
          </cell>
          <cell r="D673">
            <v>5</v>
          </cell>
          <cell r="Y673">
            <v>0.05</v>
          </cell>
          <cell r="AE673" t="str">
            <v>Clean</v>
          </cell>
          <cell r="AF673" t="str">
            <v>Match</v>
          </cell>
          <cell r="AG673" t="str">
            <v>Match</v>
          </cell>
        </row>
        <row r="674">
          <cell r="B674">
            <v>45539</v>
          </cell>
          <cell r="D674">
            <v>1</v>
          </cell>
          <cell r="Y674">
            <v>0.05</v>
          </cell>
          <cell r="AE674" t="str">
            <v>Clean</v>
          </cell>
          <cell r="AF674" t="str">
            <v>Match</v>
          </cell>
          <cell r="AG674" t="str">
            <v>Match</v>
          </cell>
        </row>
        <row r="675">
          <cell r="B675">
            <v>45701</v>
          </cell>
          <cell r="D675">
            <v>3</v>
          </cell>
          <cell r="Y675">
            <v>0.15</v>
          </cell>
          <cell r="AE675" t="str">
            <v>Clean</v>
          </cell>
          <cell r="AF675" t="str">
            <v>Match</v>
          </cell>
          <cell r="AG675" t="str">
            <v>Match</v>
          </cell>
        </row>
        <row r="676">
          <cell r="B676">
            <v>45430</v>
          </cell>
          <cell r="D676">
            <v>3</v>
          </cell>
          <cell r="Y676">
            <v>0</v>
          </cell>
          <cell r="AE676" t="str">
            <v>Clean</v>
          </cell>
          <cell r="AF676" t="str">
            <v>Match</v>
          </cell>
          <cell r="AG676" t="str">
            <v>Match</v>
          </cell>
        </row>
        <row r="677">
          <cell r="B677">
            <v>45815</v>
          </cell>
          <cell r="D677">
            <v>3</v>
          </cell>
          <cell r="Y677">
            <v>0</v>
          </cell>
          <cell r="AE677" t="str">
            <v>Clean</v>
          </cell>
          <cell r="AF677" t="str">
            <v>Match</v>
          </cell>
          <cell r="AG677" t="str">
            <v>Match</v>
          </cell>
        </row>
        <row r="678">
          <cell r="B678">
            <v>45911</v>
          </cell>
          <cell r="D678">
            <v>7</v>
          </cell>
          <cell r="Y678">
            <v>0.15</v>
          </cell>
          <cell r="AE678" t="str">
            <v>Clean</v>
          </cell>
          <cell r="AF678" t="str">
            <v>Match</v>
          </cell>
          <cell r="AG678" t="str">
            <v>Match</v>
          </cell>
        </row>
        <row r="679">
          <cell r="B679">
            <v>45465</v>
          </cell>
          <cell r="D679">
            <v>5</v>
          </cell>
          <cell r="Y679">
            <v>0</v>
          </cell>
          <cell r="AE679" t="str">
            <v>Clean</v>
          </cell>
          <cell r="AF679" t="str">
            <v>Match</v>
          </cell>
          <cell r="AG679" t="str">
            <v>Match</v>
          </cell>
        </row>
        <row r="680">
          <cell r="B680">
            <v>45620</v>
          </cell>
          <cell r="D680">
            <v>7</v>
          </cell>
          <cell r="Y680">
            <v>0.15</v>
          </cell>
          <cell r="AE680" t="str">
            <v>Clean</v>
          </cell>
          <cell r="AF680" t="str">
            <v>Match</v>
          </cell>
          <cell r="AG680" t="str">
            <v>Match</v>
          </cell>
        </row>
        <row r="681">
          <cell r="B681">
            <v>45885</v>
          </cell>
          <cell r="D681">
            <v>7</v>
          </cell>
          <cell r="Y681">
            <v>0.7</v>
          </cell>
          <cell r="AE681" t="str">
            <v>Clean</v>
          </cell>
          <cell r="AF681" t="str">
            <v>Mismatch</v>
          </cell>
          <cell r="AG681" t="str">
            <v>Mismatch</v>
          </cell>
        </row>
        <row r="682">
          <cell r="B682">
            <v>45441</v>
          </cell>
          <cell r="D682">
            <v>7</v>
          </cell>
          <cell r="Y682">
            <v>0</v>
          </cell>
          <cell r="AE682" t="str">
            <v>Clean</v>
          </cell>
          <cell r="AF682" t="str">
            <v>Match</v>
          </cell>
          <cell r="AG682" t="str">
            <v>Match</v>
          </cell>
        </row>
        <row r="683">
          <cell r="B683">
            <v>45477</v>
          </cell>
          <cell r="D683">
            <v>6</v>
          </cell>
          <cell r="Y683">
            <v>0</v>
          </cell>
          <cell r="AE683" t="str">
            <v>Clean</v>
          </cell>
          <cell r="AF683" t="str">
            <v>Match</v>
          </cell>
          <cell r="AG683" t="str">
            <v>Match</v>
          </cell>
        </row>
        <row r="684">
          <cell r="B684">
            <v>45693</v>
          </cell>
          <cell r="D684">
            <v>0</v>
          </cell>
          <cell r="Y684">
            <v>0</v>
          </cell>
          <cell r="AE684" t="str">
            <v>Clean</v>
          </cell>
          <cell r="AF684" t="str">
            <v>Mismatch</v>
          </cell>
          <cell r="AG684" t="str">
            <v>Mismatch</v>
          </cell>
        </row>
        <row r="685">
          <cell r="B685">
            <v>45858</v>
          </cell>
          <cell r="D685">
            <v>4</v>
          </cell>
          <cell r="Y685">
            <v>0.2</v>
          </cell>
          <cell r="AE685" t="str">
            <v>Clean</v>
          </cell>
          <cell r="AF685" t="str">
            <v>Match</v>
          </cell>
          <cell r="AG685" t="str">
            <v>Match</v>
          </cell>
        </row>
        <row r="686">
          <cell r="B686">
            <v>45859</v>
          </cell>
          <cell r="D686">
            <v>0</v>
          </cell>
          <cell r="Y686">
            <v>0.2</v>
          </cell>
          <cell r="AE686" t="str">
            <v>Clean</v>
          </cell>
          <cell r="AF686" t="str">
            <v>Match</v>
          </cell>
          <cell r="AG686" t="str">
            <v>Match</v>
          </cell>
        </row>
        <row r="687">
          <cell r="B687">
            <v>45931</v>
          </cell>
          <cell r="D687">
            <v>2</v>
          </cell>
          <cell r="Y687">
            <v>0.55000000000000004</v>
          </cell>
          <cell r="AE687" t="str">
            <v>Clean</v>
          </cell>
          <cell r="AF687" t="str">
            <v>Mismatch</v>
          </cell>
          <cell r="AG687" t="str">
            <v>Mismatch</v>
          </cell>
        </row>
        <row r="688">
          <cell r="B688">
            <v>45376</v>
          </cell>
          <cell r="D688">
            <v>8</v>
          </cell>
          <cell r="Y688">
            <v>0</v>
          </cell>
          <cell r="AE688" t="str">
            <v>Clean</v>
          </cell>
          <cell r="AF688" t="str">
            <v>Match</v>
          </cell>
          <cell r="AG688" t="str">
            <v>Match</v>
          </cell>
        </row>
        <row r="689">
          <cell r="B689">
            <v>45938</v>
          </cell>
          <cell r="D689">
            <v>5</v>
          </cell>
          <cell r="Y689">
            <v>0</v>
          </cell>
          <cell r="AE689" t="str">
            <v>Clean</v>
          </cell>
          <cell r="AF689" t="str">
            <v>Match</v>
          </cell>
          <cell r="AG689" t="str">
            <v>Match</v>
          </cell>
        </row>
        <row r="690">
          <cell r="B690">
            <v>45714</v>
          </cell>
          <cell r="D690">
            <v>1</v>
          </cell>
          <cell r="Y690">
            <v>0.15</v>
          </cell>
          <cell r="AE690" t="str">
            <v>Clean</v>
          </cell>
          <cell r="AF690" t="str">
            <v>Match</v>
          </cell>
          <cell r="AG690" t="str">
            <v>Match</v>
          </cell>
        </row>
        <row r="691">
          <cell r="B691">
            <v>45570</v>
          </cell>
          <cell r="D691">
            <v>1</v>
          </cell>
          <cell r="Y691">
            <v>0.15</v>
          </cell>
          <cell r="AE691" t="str">
            <v>Clean</v>
          </cell>
          <cell r="AF691" t="str">
            <v>Match</v>
          </cell>
          <cell r="AG691" t="str">
            <v>Match</v>
          </cell>
        </row>
        <row r="692">
          <cell r="B692">
            <v>45546</v>
          </cell>
          <cell r="D692">
            <v>4</v>
          </cell>
          <cell r="Y692">
            <v>0</v>
          </cell>
          <cell r="AE692" t="str">
            <v>Clean</v>
          </cell>
          <cell r="AF692" t="str">
            <v>Match</v>
          </cell>
          <cell r="AG692" t="str">
            <v>Match</v>
          </cell>
        </row>
        <row r="693">
          <cell r="B693">
            <v>45641</v>
          </cell>
          <cell r="D693">
            <v>1</v>
          </cell>
          <cell r="Y693">
            <v>0.05</v>
          </cell>
          <cell r="AE693" t="str">
            <v>Clean</v>
          </cell>
          <cell r="AF693" t="str">
            <v>Match</v>
          </cell>
          <cell r="AG693" t="str">
            <v>Match</v>
          </cell>
        </row>
        <row r="694">
          <cell r="B694">
            <v>45935</v>
          </cell>
          <cell r="D694">
            <v>5</v>
          </cell>
          <cell r="Y694">
            <v>0.1</v>
          </cell>
          <cell r="AE694" t="str">
            <v>Clean</v>
          </cell>
          <cell r="AF694" t="str">
            <v>Match</v>
          </cell>
          <cell r="AG694" t="str">
            <v>Match</v>
          </cell>
        </row>
        <row r="695">
          <cell r="B695">
            <v>45750</v>
          </cell>
          <cell r="D695">
            <v>8</v>
          </cell>
          <cell r="Y695">
            <v>0.05</v>
          </cell>
          <cell r="AE695" t="str">
            <v>Clean</v>
          </cell>
          <cell r="AF695" t="str">
            <v>Match</v>
          </cell>
          <cell r="AG695" t="str">
            <v>Match</v>
          </cell>
        </row>
        <row r="696">
          <cell r="B696">
            <v>45870</v>
          </cell>
          <cell r="D696">
            <v>8</v>
          </cell>
          <cell r="Y696">
            <v>0.15</v>
          </cell>
          <cell r="AE696" t="str">
            <v>Clean</v>
          </cell>
          <cell r="AF696" t="str">
            <v>Match</v>
          </cell>
          <cell r="AG696" t="str">
            <v>Match</v>
          </cell>
        </row>
        <row r="697">
          <cell r="B697">
            <v>45474</v>
          </cell>
          <cell r="D697">
            <v>0</v>
          </cell>
          <cell r="Y697">
            <v>0</v>
          </cell>
          <cell r="AE697" t="str">
            <v>Clean</v>
          </cell>
          <cell r="AF697" t="str">
            <v>Match</v>
          </cell>
          <cell r="AG697" t="str">
            <v>Match</v>
          </cell>
        </row>
        <row r="698">
          <cell r="B698">
            <v>45922</v>
          </cell>
          <cell r="D698">
            <v>3</v>
          </cell>
          <cell r="Y698">
            <v>0.25</v>
          </cell>
          <cell r="AE698" t="str">
            <v>Clean</v>
          </cell>
          <cell r="AF698" t="str">
            <v>Match</v>
          </cell>
          <cell r="AG698" t="str">
            <v>Mismatch</v>
          </cell>
        </row>
        <row r="699">
          <cell r="B699">
            <v>45717</v>
          </cell>
          <cell r="D699">
            <v>6</v>
          </cell>
          <cell r="Y699">
            <v>0</v>
          </cell>
          <cell r="AE699" t="str">
            <v>Clean</v>
          </cell>
          <cell r="AF699" t="str">
            <v>Mismatch</v>
          </cell>
          <cell r="AG699" t="str">
            <v>Mismatch</v>
          </cell>
        </row>
        <row r="700">
          <cell r="B700">
            <v>45549</v>
          </cell>
          <cell r="D700">
            <v>0</v>
          </cell>
          <cell r="Y700">
            <v>0.15</v>
          </cell>
          <cell r="AE700" t="str">
            <v>Clean</v>
          </cell>
          <cell r="AF700" t="str">
            <v>Mismatch</v>
          </cell>
          <cell r="AG700" t="str">
            <v>Match</v>
          </cell>
        </row>
        <row r="701">
          <cell r="B701">
            <v>45454</v>
          </cell>
          <cell r="D701">
            <v>0</v>
          </cell>
          <cell r="Y701">
            <v>0.25</v>
          </cell>
          <cell r="AE701" t="str">
            <v>Clean</v>
          </cell>
          <cell r="AF701" t="str">
            <v>Match</v>
          </cell>
          <cell r="AG701" t="str">
            <v>Match</v>
          </cell>
        </row>
        <row r="702">
          <cell r="B702">
            <v>45553</v>
          </cell>
          <cell r="D702">
            <v>3</v>
          </cell>
          <cell r="Y702">
            <v>0.15</v>
          </cell>
          <cell r="AE702" t="str">
            <v>Clean</v>
          </cell>
          <cell r="AF702" t="str">
            <v>Match</v>
          </cell>
          <cell r="AG702" t="str">
            <v>Match</v>
          </cell>
        </row>
        <row r="703">
          <cell r="B703">
            <v>45412</v>
          </cell>
          <cell r="D703">
            <v>4</v>
          </cell>
          <cell r="Y703">
            <v>0</v>
          </cell>
          <cell r="AE703" t="str">
            <v>Clean</v>
          </cell>
          <cell r="AF703" t="str">
            <v>Match</v>
          </cell>
          <cell r="AG703" t="str">
            <v>Match</v>
          </cell>
        </row>
        <row r="704">
          <cell r="B704">
            <v>45690</v>
          </cell>
          <cell r="D704">
            <v>4</v>
          </cell>
          <cell r="Y704">
            <v>0.1</v>
          </cell>
          <cell r="AE704" t="str">
            <v>Clean</v>
          </cell>
          <cell r="AF704" t="str">
            <v>Match</v>
          </cell>
          <cell r="AG704" t="str">
            <v>Match</v>
          </cell>
        </row>
        <row r="705">
          <cell r="B705">
            <v>45584</v>
          </cell>
          <cell r="D705">
            <v>1</v>
          </cell>
          <cell r="Y705">
            <v>0.1</v>
          </cell>
          <cell r="AE705" t="str">
            <v>Clean</v>
          </cell>
          <cell r="AF705" t="str">
            <v>Match</v>
          </cell>
          <cell r="AG705" t="str">
            <v>Match</v>
          </cell>
        </row>
        <row r="706">
          <cell r="B706">
            <v>45364</v>
          </cell>
          <cell r="D706">
            <v>7</v>
          </cell>
          <cell r="Y706">
            <v>0.15</v>
          </cell>
          <cell r="AE706" t="str">
            <v>Clean</v>
          </cell>
          <cell r="AF706" t="str">
            <v>Match</v>
          </cell>
          <cell r="AG706" t="str">
            <v>Match</v>
          </cell>
        </row>
        <row r="707">
          <cell r="B707">
            <v>45543</v>
          </cell>
          <cell r="D707">
            <v>6</v>
          </cell>
          <cell r="Y707">
            <v>0.05</v>
          </cell>
          <cell r="AE707" t="str">
            <v>Clean</v>
          </cell>
          <cell r="AF707" t="str">
            <v>Match</v>
          </cell>
          <cell r="AG707" t="str">
            <v>Match</v>
          </cell>
        </row>
        <row r="708">
          <cell r="B708">
            <v>45467</v>
          </cell>
          <cell r="D708">
            <v>4</v>
          </cell>
          <cell r="Y708">
            <v>0.1</v>
          </cell>
          <cell r="AE708" t="str">
            <v>Clean</v>
          </cell>
          <cell r="AF708" t="str">
            <v>Match</v>
          </cell>
          <cell r="AG708" t="str">
            <v>Match</v>
          </cell>
        </row>
        <row r="709">
          <cell r="B709">
            <v>45832</v>
          </cell>
          <cell r="D709">
            <v>2</v>
          </cell>
          <cell r="Y709">
            <v>0.55000000000000004</v>
          </cell>
          <cell r="AE709" t="str">
            <v>Clean</v>
          </cell>
          <cell r="AF709" t="str">
            <v>Mismatch</v>
          </cell>
          <cell r="AG709" t="str">
            <v>Mismatch</v>
          </cell>
        </row>
        <row r="710">
          <cell r="B710">
            <v>45736</v>
          </cell>
          <cell r="D710">
            <v>6</v>
          </cell>
          <cell r="Y710">
            <v>0.05</v>
          </cell>
          <cell r="AE710" t="str">
            <v>Clean</v>
          </cell>
          <cell r="AF710" t="str">
            <v>Match</v>
          </cell>
          <cell r="AG710" t="str">
            <v>Match</v>
          </cell>
        </row>
        <row r="711">
          <cell r="B711">
            <v>45676</v>
          </cell>
          <cell r="D711">
            <v>4</v>
          </cell>
          <cell r="Y711">
            <v>0.15</v>
          </cell>
          <cell r="AE711" t="str">
            <v>Clean</v>
          </cell>
          <cell r="AF711" t="str">
            <v>Match</v>
          </cell>
          <cell r="AG711" t="str">
            <v>Match</v>
          </cell>
        </row>
        <row r="712">
          <cell r="B712">
            <v>45485</v>
          </cell>
          <cell r="D712">
            <v>7</v>
          </cell>
          <cell r="Y712">
            <v>0.05</v>
          </cell>
          <cell r="AE712" t="str">
            <v>Clean</v>
          </cell>
          <cell r="AF712" t="str">
            <v>Match</v>
          </cell>
          <cell r="AG712" t="str">
            <v>Match</v>
          </cell>
        </row>
        <row r="713">
          <cell r="B713">
            <v>45690</v>
          </cell>
          <cell r="D713">
            <v>0</v>
          </cell>
          <cell r="Y713">
            <v>0.05</v>
          </cell>
          <cell r="AE713" t="str">
            <v>Clean</v>
          </cell>
          <cell r="AF713" t="str">
            <v>Match</v>
          </cell>
          <cell r="AG713" t="str">
            <v>Match</v>
          </cell>
        </row>
        <row r="714">
          <cell r="B714">
            <v>45332</v>
          </cell>
          <cell r="D714">
            <v>8</v>
          </cell>
          <cell r="Y714">
            <v>0</v>
          </cell>
          <cell r="AE714" t="str">
            <v>Clean</v>
          </cell>
          <cell r="AF714" t="str">
            <v>Match</v>
          </cell>
          <cell r="AG714" t="str">
            <v>Match</v>
          </cell>
        </row>
        <row r="715">
          <cell r="B715">
            <v>45814</v>
          </cell>
          <cell r="D715">
            <v>4</v>
          </cell>
          <cell r="Y715">
            <v>0.25</v>
          </cell>
          <cell r="AE715" t="str">
            <v>Clean</v>
          </cell>
          <cell r="AF715" t="str">
            <v>Match</v>
          </cell>
          <cell r="AG715" t="str">
            <v>Match</v>
          </cell>
        </row>
        <row r="716">
          <cell r="B716">
            <v>45738</v>
          </cell>
          <cell r="D716">
            <v>1</v>
          </cell>
          <cell r="Y716">
            <v>0</v>
          </cell>
          <cell r="AE716" t="str">
            <v>Clean</v>
          </cell>
          <cell r="AF716" t="str">
            <v>Match</v>
          </cell>
          <cell r="AG716" t="str">
            <v>Match</v>
          </cell>
        </row>
        <row r="717">
          <cell r="B717">
            <v>45891</v>
          </cell>
          <cell r="D717">
            <v>5</v>
          </cell>
          <cell r="Y717">
            <v>0</v>
          </cell>
          <cell r="AE717" t="str">
            <v>Clean</v>
          </cell>
          <cell r="AF717" t="str">
            <v>Match</v>
          </cell>
          <cell r="AG717" t="str">
            <v>Match</v>
          </cell>
        </row>
        <row r="718">
          <cell r="B718">
            <v>45895</v>
          </cell>
          <cell r="D718">
            <v>5</v>
          </cell>
          <cell r="Y718">
            <v>0.15</v>
          </cell>
          <cell r="AE718" t="str">
            <v>Clean</v>
          </cell>
          <cell r="AF718" t="str">
            <v>Match</v>
          </cell>
          <cell r="AG718" t="str">
            <v>Match</v>
          </cell>
        </row>
        <row r="719">
          <cell r="B719">
            <v>45942</v>
          </cell>
          <cell r="D719">
            <v>3</v>
          </cell>
          <cell r="Y719">
            <v>0.2</v>
          </cell>
          <cell r="AE719" t="str">
            <v>Clean</v>
          </cell>
          <cell r="AF719" t="str">
            <v>Match</v>
          </cell>
          <cell r="AG719" t="str">
            <v>Match</v>
          </cell>
        </row>
        <row r="720">
          <cell r="B720">
            <v>45541</v>
          </cell>
          <cell r="D720">
            <v>3</v>
          </cell>
          <cell r="Y720">
            <v>0.2</v>
          </cell>
          <cell r="AE720" t="str">
            <v>Clean</v>
          </cell>
          <cell r="AF720" t="str">
            <v>Match</v>
          </cell>
          <cell r="AG720" t="str">
            <v>Match</v>
          </cell>
        </row>
        <row r="721">
          <cell r="B721">
            <v>45908</v>
          </cell>
          <cell r="D721">
            <v>1</v>
          </cell>
          <cell r="Y721">
            <v>0.2</v>
          </cell>
          <cell r="AE721" t="str">
            <v>Clean</v>
          </cell>
          <cell r="AF721" t="str">
            <v>Match</v>
          </cell>
          <cell r="AG721" t="str">
            <v>Match</v>
          </cell>
        </row>
        <row r="722">
          <cell r="B722">
            <v>45489</v>
          </cell>
          <cell r="D722">
            <v>0</v>
          </cell>
          <cell r="Y722">
            <v>0.15</v>
          </cell>
          <cell r="AE722" t="str">
            <v>Clean</v>
          </cell>
          <cell r="AF722" t="str">
            <v>Match</v>
          </cell>
          <cell r="AG722" t="str">
            <v>Match</v>
          </cell>
        </row>
        <row r="723">
          <cell r="B723">
            <v>45827</v>
          </cell>
          <cell r="D723">
            <v>4</v>
          </cell>
          <cell r="Y723">
            <v>0</v>
          </cell>
          <cell r="AE723" t="str">
            <v>Clean</v>
          </cell>
          <cell r="AF723" t="str">
            <v>Match</v>
          </cell>
          <cell r="AG723" t="str">
            <v>Match</v>
          </cell>
        </row>
        <row r="724">
          <cell r="B724">
            <v>45572</v>
          </cell>
          <cell r="D724">
            <v>3</v>
          </cell>
          <cell r="Y724">
            <v>0</v>
          </cell>
          <cell r="AE724" t="str">
            <v>Clean</v>
          </cell>
          <cell r="AF724" t="str">
            <v>Match</v>
          </cell>
          <cell r="AG724" t="str">
            <v>Match</v>
          </cell>
        </row>
        <row r="725">
          <cell r="B725">
            <v>45936</v>
          </cell>
          <cell r="D725">
            <v>7</v>
          </cell>
          <cell r="Y725">
            <v>0.05</v>
          </cell>
          <cell r="AE725" t="str">
            <v>Clean</v>
          </cell>
          <cell r="AF725" t="str">
            <v>Match</v>
          </cell>
          <cell r="AG725" t="str">
            <v>Match</v>
          </cell>
        </row>
        <row r="726">
          <cell r="B726">
            <v>45332</v>
          </cell>
          <cell r="D726">
            <v>6</v>
          </cell>
          <cell r="Y726">
            <v>0</v>
          </cell>
          <cell r="AE726" t="str">
            <v>Clean</v>
          </cell>
          <cell r="AF726" t="str">
            <v>Match</v>
          </cell>
          <cell r="AG726" t="str">
            <v>Match</v>
          </cell>
        </row>
        <row r="727">
          <cell r="B727">
            <v>45935</v>
          </cell>
          <cell r="D727">
            <v>7</v>
          </cell>
          <cell r="Y727">
            <v>0</v>
          </cell>
          <cell r="AE727" t="str">
            <v>Clean</v>
          </cell>
          <cell r="AF727" t="str">
            <v>Match</v>
          </cell>
          <cell r="AG727" t="str">
            <v>Match</v>
          </cell>
        </row>
        <row r="728">
          <cell r="B728">
            <v>45308</v>
          </cell>
          <cell r="D728">
            <v>6</v>
          </cell>
          <cell r="Y728">
            <v>0.2</v>
          </cell>
          <cell r="AE728" t="str">
            <v>Clean</v>
          </cell>
          <cell r="AF728" t="str">
            <v>Match</v>
          </cell>
          <cell r="AG728" t="str">
            <v>Match</v>
          </cell>
        </row>
        <row r="729">
          <cell r="B729">
            <v>45578</v>
          </cell>
          <cell r="D729">
            <v>0</v>
          </cell>
          <cell r="Y729">
            <v>0.05</v>
          </cell>
          <cell r="AE729" t="str">
            <v>Clean</v>
          </cell>
          <cell r="AF729" t="str">
            <v>Match</v>
          </cell>
          <cell r="AG729" t="str">
            <v>Match</v>
          </cell>
        </row>
        <row r="730">
          <cell r="B730">
            <v>45295</v>
          </cell>
          <cell r="D730">
            <v>3</v>
          </cell>
          <cell r="Y730">
            <v>0.15</v>
          </cell>
          <cell r="AE730" t="str">
            <v>Clean</v>
          </cell>
          <cell r="AF730" t="str">
            <v>Match</v>
          </cell>
          <cell r="AG730" t="str">
            <v>Match</v>
          </cell>
        </row>
        <row r="731">
          <cell r="B731">
            <v>45794</v>
          </cell>
          <cell r="D731">
            <v>8</v>
          </cell>
          <cell r="Y731">
            <v>0.15</v>
          </cell>
          <cell r="AE731" t="str">
            <v>Clean</v>
          </cell>
          <cell r="AF731" t="str">
            <v>Match</v>
          </cell>
          <cell r="AG731" t="str">
            <v>Match</v>
          </cell>
        </row>
        <row r="732">
          <cell r="B732">
            <v>45827</v>
          </cell>
          <cell r="D732">
            <v>5</v>
          </cell>
          <cell r="Y732">
            <v>0.15</v>
          </cell>
          <cell r="AE732" t="str">
            <v>Clean</v>
          </cell>
          <cell r="AF732" t="str">
            <v>Match</v>
          </cell>
          <cell r="AG732" t="str">
            <v>Match</v>
          </cell>
        </row>
        <row r="733">
          <cell r="B733">
            <v>45368</v>
          </cell>
          <cell r="D733">
            <v>2</v>
          </cell>
          <cell r="Y733">
            <v>0.1</v>
          </cell>
          <cell r="AE733" t="str">
            <v>Clean</v>
          </cell>
          <cell r="AF733" t="str">
            <v>Match</v>
          </cell>
          <cell r="AG733" t="str">
            <v>Match</v>
          </cell>
        </row>
        <row r="734">
          <cell r="B734">
            <v>45624</v>
          </cell>
          <cell r="D734">
            <v>8</v>
          </cell>
          <cell r="Y734">
            <v>0</v>
          </cell>
          <cell r="AE734" t="str">
            <v>Clean</v>
          </cell>
          <cell r="AF734" t="str">
            <v>Match</v>
          </cell>
          <cell r="AG734" t="str">
            <v>Match</v>
          </cell>
        </row>
        <row r="735">
          <cell r="B735">
            <v>45464</v>
          </cell>
          <cell r="D735">
            <v>7</v>
          </cell>
          <cell r="Y735">
            <v>0</v>
          </cell>
          <cell r="AE735" t="str">
            <v>Clean</v>
          </cell>
          <cell r="AF735" t="str">
            <v>Match</v>
          </cell>
          <cell r="AG735" t="str">
            <v>Match</v>
          </cell>
        </row>
        <row r="736">
          <cell r="B736">
            <v>45528</v>
          </cell>
          <cell r="D736">
            <v>0</v>
          </cell>
          <cell r="Y736">
            <v>0.2</v>
          </cell>
          <cell r="AE736" t="str">
            <v>Clean</v>
          </cell>
          <cell r="AF736" t="str">
            <v>Match</v>
          </cell>
          <cell r="AG736" t="str">
            <v>Match</v>
          </cell>
        </row>
        <row r="737">
          <cell r="B737">
            <v>45515</v>
          </cell>
          <cell r="D737">
            <v>8</v>
          </cell>
          <cell r="Y737">
            <v>0.2</v>
          </cell>
          <cell r="AE737" t="str">
            <v>Clean</v>
          </cell>
          <cell r="AF737" t="str">
            <v>Match</v>
          </cell>
          <cell r="AG737" t="str">
            <v>Match</v>
          </cell>
        </row>
        <row r="738">
          <cell r="B738">
            <v>45632</v>
          </cell>
          <cell r="D738">
            <v>3</v>
          </cell>
          <cell r="Y738">
            <v>0.1</v>
          </cell>
          <cell r="AE738" t="str">
            <v>Clean</v>
          </cell>
          <cell r="AF738" t="str">
            <v>Match</v>
          </cell>
          <cell r="AG738" t="str">
            <v>Match</v>
          </cell>
        </row>
        <row r="739">
          <cell r="B739">
            <v>45332</v>
          </cell>
          <cell r="D739">
            <v>0</v>
          </cell>
          <cell r="Y739">
            <v>0</v>
          </cell>
          <cell r="AE739" t="str">
            <v>Clean</v>
          </cell>
          <cell r="AF739" t="str">
            <v>Match</v>
          </cell>
          <cell r="AG739" t="str">
            <v>Match</v>
          </cell>
        </row>
        <row r="740">
          <cell r="B740">
            <v>45708</v>
          </cell>
          <cell r="D740">
            <v>2</v>
          </cell>
          <cell r="Y740">
            <v>0</v>
          </cell>
          <cell r="AE740" t="str">
            <v>Clean</v>
          </cell>
          <cell r="AF740" t="str">
            <v>Match</v>
          </cell>
          <cell r="AG740" t="str">
            <v>Match</v>
          </cell>
        </row>
        <row r="741">
          <cell r="B741">
            <v>45629</v>
          </cell>
          <cell r="D741">
            <v>7</v>
          </cell>
          <cell r="Y741">
            <v>0.05</v>
          </cell>
          <cell r="AE741" t="str">
            <v>Clean</v>
          </cell>
          <cell r="AF741" t="str">
            <v>Match</v>
          </cell>
          <cell r="AG741" t="str">
            <v>Match</v>
          </cell>
        </row>
        <row r="742">
          <cell r="B742">
            <v>45384</v>
          </cell>
          <cell r="D742">
            <v>0</v>
          </cell>
          <cell r="Y742">
            <v>0.1</v>
          </cell>
          <cell r="AE742" t="str">
            <v>Clean</v>
          </cell>
          <cell r="AF742" t="str">
            <v>Match</v>
          </cell>
          <cell r="AG742" t="str">
            <v>Match</v>
          </cell>
        </row>
        <row r="743">
          <cell r="B743">
            <v>45770</v>
          </cell>
          <cell r="D743">
            <v>2</v>
          </cell>
          <cell r="Y743">
            <v>0</v>
          </cell>
          <cell r="AE743" t="str">
            <v>Clean</v>
          </cell>
          <cell r="AF743" t="str">
            <v>Mismatch</v>
          </cell>
          <cell r="AG743" t="str">
            <v>Mismatch</v>
          </cell>
        </row>
        <row r="744">
          <cell r="B744">
            <v>45580</v>
          </cell>
          <cell r="D744">
            <v>7</v>
          </cell>
          <cell r="Y744">
            <v>0</v>
          </cell>
          <cell r="AE744" t="str">
            <v>Clean</v>
          </cell>
          <cell r="AF744" t="str">
            <v>Match</v>
          </cell>
          <cell r="AG744" t="str">
            <v>Match</v>
          </cell>
        </row>
        <row r="745">
          <cell r="B745">
            <v>45700</v>
          </cell>
          <cell r="D745">
            <v>2</v>
          </cell>
          <cell r="Y745">
            <v>0.25</v>
          </cell>
          <cell r="AE745" t="str">
            <v>Clean</v>
          </cell>
          <cell r="AF745" t="str">
            <v>Match</v>
          </cell>
          <cell r="AG745" t="str">
            <v>Match</v>
          </cell>
        </row>
        <row r="746">
          <cell r="B746">
            <v>45886</v>
          </cell>
          <cell r="D746">
            <v>3</v>
          </cell>
          <cell r="Y746">
            <v>0.1</v>
          </cell>
          <cell r="AE746" t="str">
            <v>Clean</v>
          </cell>
          <cell r="AF746" t="str">
            <v>Match</v>
          </cell>
          <cell r="AG746" t="str">
            <v>Match</v>
          </cell>
        </row>
        <row r="747">
          <cell r="B747">
            <v>45589</v>
          </cell>
          <cell r="D747">
            <v>4</v>
          </cell>
          <cell r="Y747">
            <v>0.2</v>
          </cell>
          <cell r="AE747" t="str">
            <v>Clean</v>
          </cell>
          <cell r="AF747" t="str">
            <v>Match</v>
          </cell>
          <cell r="AG747" t="str">
            <v>Match</v>
          </cell>
        </row>
        <row r="748">
          <cell r="B748">
            <v>45661</v>
          </cell>
          <cell r="D748">
            <v>6</v>
          </cell>
          <cell r="Y748">
            <v>0.2</v>
          </cell>
          <cell r="AE748" t="str">
            <v>Clean</v>
          </cell>
          <cell r="AF748" t="str">
            <v>Match</v>
          </cell>
          <cell r="AG748" t="str">
            <v>Match</v>
          </cell>
        </row>
        <row r="749">
          <cell r="B749">
            <v>45413</v>
          </cell>
          <cell r="D749">
            <v>6</v>
          </cell>
          <cell r="Y749">
            <v>0.15</v>
          </cell>
          <cell r="AE749" t="str">
            <v>Clean</v>
          </cell>
          <cell r="AF749" t="str">
            <v>Match</v>
          </cell>
          <cell r="AG749" t="str">
            <v>Match</v>
          </cell>
        </row>
        <row r="750">
          <cell r="B750">
            <v>45442</v>
          </cell>
          <cell r="D750">
            <v>0</v>
          </cell>
          <cell r="Y750">
            <v>0.25</v>
          </cell>
          <cell r="AE750" t="str">
            <v>Clean</v>
          </cell>
          <cell r="AF750" t="str">
            <v>Match</v>
          </cell>
          <cell r="AG750" t="str">
            <v>Match</v>
          </cell>
        </row>
        <row r="751">
          <cell r="B751">
            <v>45372</v>
          </cell>
          <cell r="D751">
            <v>4</v>
          </cell>
          <cell r="Y751">
            <v>0.15</v>
          </cell>
          <cell r="AE751" t="str">
            <v>Clean</v>
          </cell>
          <cell r="AF751" t="str">
            <v>Match</v>
          </cell>
          <cell r="AG751" t="str">
            <v>Match</v>
          </cell>
        </row>
        <row r="752">
          <cell r="B752">
            <v>45810</v>
          </cell>
          <cell r="D752">
            <v>0</v>
          </cell>
          <cell r="Y752">
            <v>0.15</v>
          </cell>
          <cell r="AE752" t="str">
            <v>Clean</v>
          </cell>
          <cell r="AF752" t="str">
            <v>Match</v>
          </cell>
          <cell r="AG752" t="str">
            <v>Match</v>
          </cell>
        </row>
        <row r="753">
          <cell r="B753">
            <v>45856</v>
          </cell>
          <cell r="D753">
            <v>1</v>
          </cell>
          <cell r="Y753">
            <v>0.05</v>
          </cell>
          <cell r="AE753" t="str">
            <v>Clean</v>
          </cell>
          <cell r="AF753" t="str">
            <v>Match</v>
          </cell>
          <cell r="AG753" t="str">
            <v>Match</v>
          </cell>
        </row>
        <row r="754">
          <cell r="B754">
            <v>45375</v>
          </cell>
          <cell r="D754">
            <v>3</v>
          </cell>
          <cell r="Y754">
            <v>0.05</v>
          </cell>
          <cell r="AE754" t="str">
            <v>Clean</v>
          </cell>
          <cell r="AF754" t="str">
            <v>Match</v>
          </cell>
          <cell r="AG754" t="str">
            <v>Match</v>
          </cell>
        </row>
        <row r="755">
          <cell r="B755">
            <v>45515</v>
          </cell>
          <cell r="D755">
            <v>-1</v>
          </cell>
          <cell r="Y755">
            <v>0.15</v>
          </cell>
          <cell r="AE755" t="str">
            <v>Invalid</v>
          </cell>
          <cell r="AF755" t="str">
            <v>Match</v>
          </cell>
          <cell r="AG755" t="str">
            <v>Match</v>
          </cell>
        </row>
        <row r="756">
          <cell r="B756">
            <v>45812</v>
          </cell>
          <cell r="D756">
            <v>0</v>
          </cell>
          <cell r="Y756">
            <v>0.25</v>
          </cell>
          <cell r="AE756" t="str">
            <v>Clean</v>
          </cell>
          <cell r="AF756" t="str">
            <v>Match</v>
          </cell>
          <cell r="AG756" t="str">
            <v>Match</v>
          </cell>
        </row>
        <row r="757">
          <cell r="B757">
            <v>45858</v>
          </cell>
          <cell r="D757">
            <v>4</v>
          </cell>
          <cell r="Y757">
            <v>0.2</v>
          </cell>
          <cell r="AE757" t="str">
            <v>Clean</v>
          </cell>
          <cell r="AF757" t="str">
            <v>Match</v>
          </cell>
          <cell r="AG757" t="str">
            <v>Match</v>
          </cell>
        </row>
        <row r="758">
          <cell r="B758">
            <v>45592</v>
          </cell>
          <cell r="D758">
            <v>5</v>
          </cell>
          <cell r="Y758">
            <v>0.2</v>
          </cell>
          <cell r="AE758" t="str">
            <v>Clean</v>
          </cell>
          <cell r="AF758" t="str">
            <v>Match</v>
          </cell>
          <cell r="AG758" t="str">
            <v>Match</v>
          </cell>
        </row>
        <row r="759">
          <cell r="B759">
            <v>45870</v>
          </cell>
          <cell r="D759">
            <v>2</v>
          </cell>
          <cell r="Y759">
            <v>0.25</v>
          </cell>
          <cell r="AE759" t="str">
            <v>Clean</v>
          </cell>
          <cell r="AF759" t="str">
            <v>Match</v>
          </cell>
          <cell r="AG759" t="str">
            <v>Match</v>
          </cell>
        </row>
        <row r="760">
          <cell r="B760">
            <v>45414</v>
          </cell>
          <cell r="D760">
            <v>8</v>
          </cell>
          <cell r="Y760">
            <v>0</v>
          </cell>
          <cell r="AE760" t="str">
            <v>Clean</v>
          </cell>
          <cell r="AF760" t="str">
            <v>Match</v>
          </cell>
          <cell r="AG760" t="str">
            <v>Match</v>
          </cell>
        </row>
        <row r="761">
          <cell r="B761">
            <v>45492</v>
          </cell>
          <cell r="D761">
            <v>7</v>
          </cell>
          <cell r="Y761">
            <v>0.25</v>
          </cell>
          <cell r="AE761" t="str">
            <v>Clean</v>
          </cell>
          <cell r="AF761" t="str">
            <v>Match</v>
          </cell>
          <cell r="AG761" t="str">
            <v>Match</v>
          </cell>
        </row>
        <row r="762">
          <cell r="B762">
            <v>45532</v>
          </cell>
          <cell r="D762">
            <v>5</v>
          </cell>
          <cell r="Y762">
            <v>0</v>
          </cell>
          <cell r="AE762" t="str">
            <v>Clean</v>
          </cell>
          <cell r="AF762" t="str">
            <v>Match</v>
          </cell>
          <cell r="AG762" t="str">
            <v>Match</v>
          </cell>
        </row>
        <row r="763">
          <cell r="B763">
            <v>45896</v>
          </cell>
          <cell r="D763">
            <v>4</v>
          </cell>
          <cell r="Y763">
            <v>0</v>
          </cell>
          <cell r="AE763" t="str">
            <v>Clean</v>
          </cell>
          <cell r="AF763" t="str">
            <v>Match</v>
          </cell>
          <cell r="AG763" t="str">
            <v>Match</v>
          </cell>
        </row>
        <row r="764">
          <cell r="B764">
            <v>45292</v>
          </cell>
          <cell r="D764">
            <v>4</v>
          </cell>
          <cell r="Y764">
            <v>0.2</v>
          </cell>
          <cell r="AE764" t="str">
            <v>Clean</v>
          </cell>
          <cell r="AF764" t="str">
            <v>Match</v>
          </cell>
          <cell r="AG764" t="str">
            <v>Match</v>
          </cell>
        </row>
        <row r="765">
          <cell r="B765">
            <v>45892</v>
          </cell>
          <cell r="D765">
            <v>2</v>
          </cell>
          <cell r="Y765">
            <v>0</v>
          </cell>
          <cell r="AE765" t="str">
            <v>Clean</v>
          </cell>
          <cell r="AF765" t="str">
            <v>Match</v>
          </cell>
          <cell r="AG765" t="str">
            <v>Match</v>
          </cell>
        </row>
        <row r="766">
          <cell r="B766">
            <v>45760</v>
          </cell>
          <cell r="D766">
            <v>0</v>
          </cell>
          <cell r="Y766">
            <v>0.05</v>
          </cell>
          <cell r="AE766" t="str">
            <v>Clean</v>
          </cell>
          <cell r="AF766" t="str">
            <v>Match</v>
          </cell>
          <cell r="AG766" t="str">
            <v>Match</v>
          </cell>
        </row>
        <row r="767">
          <cell r="B767">
            <v>45837</v>
          </cell>
          <cell r="D767">
            <v>4</v>
          </cell>
          <cell r="Y767">
            <v>0</v>
          </cell>
          <cell r="AE767" t="str">
            <v>Clean</v>
          </cell>
          <cell r="AF767" t="str">
            <v>Match</v>
          </cell>
          <cell r="AG767" t="str">
            <v>Match</v>
          </cell>
        </row>
        <row r="768">
          <cell r="B768">
            <v>45552</v>
          </cell>
          <cell r="D768">
            <v>7</v>
          </cell>
          <cell r="Y768">
            <v>0.2</v>
          </cell>
          <cell r="AE768" t="str">
            <v>Clean</v>
          </cell>
          <cell r="AF768" t="str">
            <v>Match</v>
          </cell>
          <cell r="AG768" t="str">
            <v>Match</v>
          </cell>
        </row>
        <row r="769">
          <cell r="B769">
            <v>45415</v>
          </cell>
          <cell r="D769">
            <v>3</v>
          </cell>
          <cell r="Y769">
            <v>0.25</v>
          </cell>
          <cell r="AE769" t="str">
            <v>Clean</v>
          </cell>
          <cell r="AF769" t="str">
            <v>Match</v>
          </cell>
          <cell r="AG769" t="str">
            <v>Match</v>
          </cell>
        </row>
        <row r="770">
          <cell r="B770">
            <v>45749</v>
          </cell>
          <cell r="D770">
            <v>2</v>
          </cell>
          <cell r="Y770">
            <v>0.1</v>
          </cell>
          <cell r="AE770" t="str">
            <v>Clean</v>
          </cell>
          <cell r="AF770" t="str">
            <v>Match</v>
          </cell>
          <cell r="AG770" t="str">
            <v>Match</v>
          </cell>
        </row>
        <row r="771">
          <cell r="B771">
            <v>45423</v>
          </cell>
          <cell r="D771">
            <v>2</v>
          </cell>
          <cell r="Y771">
            <v>0.25</v>
          </cell>
          <cell r="AE771" t="str">
            <v>Clean</v>
          </cell>
          <cell r="AF771" t="str">
            <v>Match</v>
          </cell>
          <cell r="AG771" t="str">
            <v>Match</v>
          </cell>
        </row>
        <row r="772">
          <cell r="B772">
            <v>45337</v>
          </cell>
          <cell r="D772">
            <v>2</v>
          </cell>
          <cell r="Y772">
            <v>0</v>
          </cell>
          <cell r="AE772" t="str">
            <v>Clean</v>
          </cell>
          <cell r="AF772" t="str">
            <v>Mismatch</v>
          </cell>
          <cell r="AG772" t="str">
            <v>Mismatch</v>
          </cell>
        </row>
        <row r="773">
          <cell r="B773">
            <v>45485</v>
          </cell>
          <cell r="D773">
            <v>2</v>
          </cell>
          <cell r="Y773">
            <v>0</v>
          </cell>
          <cell r="AE773" t="str">
            <v>Clean</v>
          </cell>
          <cell r="AF773" t="str">
            <v>Mismatch</v>
          </cell>
          <cell r="AG773" t="str">
            <v>Mismatch</v>
          </cell>
        </row>
        <row r="774">
          <cell r="B774">
            <v>45853</v>
          </cell>
          <cell r="D774">
            <v>4</v>
          </cell>
          <cell r="Y774">
            <v>0.05</v>
          </cell>
          <cell r="AE774" t="str">
            <v>Clean</v>
          </cell>
          <cell r="AF774" t="str">
            <v>Match</v>
          </cell>
          <cell r="AG774" t="str">
            <v>Match</v>
          </cell>
        </row>
        <row r="775">
          <cell r="B775">
            <v>45709</v>
          </cell>
          <cell r="D775">
            <v>0</v>
          </cell>
          <cell r="Y775">
            <v>0.2</v>
          </cell>
          <cell r="AE775" t="str">
            <v>Clean</v>
          </cell>
          <cell r="AF775" t="str">
            <v>Match</v>
          </cell>
          <cell r="AG775" t="str">
            <v>Match</v>
          </cell>
        </row>
        <row r="776">
          <cell r="B776">
            <v>45876</v>
          </cell>
          <cell r="D776">
            <v>0</v>
          </cell>
          <cell r="Y776">
            <v>0.2</v>
          </cell>
          <cell r="AE776" t="str">
            <v>Clean</v>
          </cell>
          <cell r="AF776" t="str">
            <v>Match</v>
          </cell>
          <cell r="AG776" t="str">
            <v>Match</v>
          </cell>
        </row>
        <row r="777">
          <cell r="B777">
            <v>45396</v>
          </cell>
          <cell r="D777">
            <v>8</v>
          </cell>
          <cell r="Y777">
            <v>0.25</v>
          </cell>
          <cell r="AE777" t="str">
            <v>Clean</v>
          </cell>
          <cell r="AF777" t="str">
            <v>Match</v>
          </cell>
          <cell r="AG777" t="str">
            <v>Match</v>
          </cell>
        </row>
        <row r="778">
          <cell r="B778">
            <v>45816</v>
          </cell>
          <cell r="D778">
            <v>5</v>
          </cell>
          <cell r="Y778">
            <v>0</v>
          </cell>
          <cell r="AE778" t="str">
            <v>Clean</v>
          </cell>
          <cell r="AF778" t="str">
            <v>Match</v>
          </cell>
          <cell r="AG778" t="str">
            <v>Match</v>
          </cell>
        </row>
        <row r="779">
          <cell r="B779">
            <v>45326</v>
          </cell>
          <cell r="D779">
            <v>2</v>
          </cell>
          <cell r="Y779">
            <v>0.15</v>
          </cell>
          <cell r="AE779" t="str">
            <v>Clean</v>
          </cell>
          <cell r="AF779" t="str">
            <v>Match</v>
          </cell>
          <cell r="AG779" t="str">
            <v>Match</v>
          </cell>
        </row>
        <row r="780">
          <cell r="B780">
            <v>45497</v>
          </cell>
          <cell r="D780">
            <v>0</v>
          </cell>
          <cell r="Y780">
            <v>0</v>
          </cell>
          <cell r="AE780" t="str">
            <v>Clean</v>
          </cell>
          <cell r="AF780" t="str">
            <v>Match</v>
          </cell>
          <cell r="AG780" t="str">
            <v>Match</v>
          </cell>
        </row>
        <row r="781">
          <cell r="B781">
            <v>45306</v>
          </cell>
          <cell r="D781">
            <v>5</v>
          </cell>
          <cell r="Y781">
            <v>0.05</v>
          </cell>
          <cell r="AE781" t="str">
            <v>Clean</v>
          </cell>
          <cell r="AF781" t="str">
            <v>Match</v>
          </cell>
          <cell r="AG781" t="str">
            <v>Match</v>
          </cell>
        </row>
        <row r="782">
          <cell r="B782">
            <v>45508</v>
          </cell>
          <cell r="D782">
            <v>6</v>
          </cell>
          <cell r="Y782">
            <v>0.2</v>
          </cell>
          <cell r="AE782" t="str">
            <v>Clean</v>
          </cell>
          <cell r="AF782" t="str">
            <v>Match</v>
          </cell>
          <cell r="AG782" t="str">
            <v>Match</v>
          </cell>
        </row>
        <row r="783">
          <cell r="B783">
            <v>45324</v>
          </cell>
          <cell r="D783">
            <v>8</v>
          </cell>
          <cell r="Y783">
            <v>0.25</v>
          </cell>
          <cell r="AE783" t="str">
            <v>Clean</v>
          </cell>
          <cell r="AF783" t="str">
            <v>Match</v>
          </cell>
          <cell r="AG783" t="str">
            <v>Match</v>
          </cell>
        </row>
        <row r="784">
          <cell r="B784">
            <v>45730</v>
          </cell>
          <cell r="D784">
            <v>8</v>
          </cell>
          <cell r="Y784">
            <v>0.15</v>
          </cell>
          <cell r="AE784" t="str">
            <v>Clean</v>
          </cell>
          <cell r="AF784" t="str">
            <v>Match</v>
          </cell>
          <cell r="AG784" t="str">
            <v>Match</v>
          </cell>
        </row>
        <row r="785">
          <cell r="B785">
            <v>45450</v>
          </cell>
          <cell r="D785">
            <v>0</v>
          </cell>
          <cell r="Y785">
            <v>0.05</v>
          </cell>
          <cell r="AE785" t="str">
            <v>Clean</v>
          </cell>
          <cell r="AF785" t="str">
            <v>Match</v>
          </cell>
          <cell r="AG785" t="str">
            <v>Match</v>
          </cell>
        </row>
        <row r="786">
          <cell r="B786">
            <v>45934</v>
          </cell>
          <cell r="D786">
            <v>1</v>
          </cell>
          <cell r="Y786">
            <v>0.05</v>
          </cell>
          <cell r="AE786" t="str">
            <v>Clean</v>
          </cell>
          <cell r="AF786" t="str">
            <v>Match</v>
          </cell>
          <cell r="AG786" t="str">
            <v>Match</v>
          </cell>
        </row>
        <row r="787">
          <cell r="B787">
            <v>45435</v>
          </cell>
          <cell r="D787">
            <v>6</v>
          </cell>
          <cell r="Y787">
            <v>0.25</v>
          </cell>
          <cell r="AE787" t="str">
            <v>Clean</v>
          </cell>
          <cell r="AF787" t="str">
            <v>Match</v>
          </cell>
          <cell r="AG787" t="str">
            <v>Mismatch</v>
          </cell>
        </row>
        <row r="788">
          <cell r="B788">
            <v>45844</v>
          </cell>
          <cell r="D788">
            <v>2</v>
          </cell>
          <cell r="Y788">
            <v>0.05</v>
          </cell>
          <cell r="AE788" t="str">
            <v>Clean</v>
          </cell>
          <cell r="AF788" t="str">
            <v>Match</v>
          </cell>
          <cell r="AG788" t="str">
            <v>Match</v>
          </cell>
        </row>
        <row r="789">
          <cell r="B789">
            <v>45547</v>
          </cell>
          <cell r="D789">
            <v>6</v>
          </cell>
          <cell r="Y789">
            <v>0.05</v>
          </cell>
          <cell r="AE789" t="str">
            <v>Clean</v>
          </cell>
          <cell r="AF789" t="str">
            <v>Match</v>
          </cell>
          <cell r="AG789" t="str">
            <v>Match</v>
          </cell>
        </row>
        <row r="790">
          <cell r="B790">
            <v>45505</v>
          </cell>
          <cell r="D790">
            <v>1</v>
          </cell>
          <cell r="Y790">
            <v>0.1</v>
          </cell>
          <cell r="AE790" t="str">
            <v>Clean</v>
          </cell>
          <cell r="AF790" t="str">
            <v>Match</v>
          </cell>
          <cell r="AG790" t="str">
            <v>Match</v>
          </cell>
        </row>
        <row r="791">
          <cell r="B791">
            <v>45723</v>
          </cell>
          <cell r="D791">
            <v>1</v>
          </cell>
          <cell r="Y791">
            <v>0</v>
          </cell>
          <cell r="AE791" t="str">
            <v>Clean</v>
          </cell>
          <cell r="AF791" t="str">
            <v>Match</v>
          </cell>
          <cell r="AG791" t="str">
            <v>Match</v>
          </cell>
        </row>
        <row r="792">
          <cell r="B792">
            <v>45443</v>
          </cell>
          <cell r="D792">
            <v>2</v>
          </cell>
          <cell r="Y792">
            <v>0.2</v>
          </cell>
          <cell r="AE792" t="str">
            <v>Clean</v>
          </cell>
          <cell r="AF792" t="str">
            <v>Match</v>
          </cell>
          <cell r="AG792" t="str">
            <v>Match</v>
          </cell>
        </row>
        <row r="793">
          <cell r="B793">
            <v>45567</v>
          </cell>
          <cell r="D793">
            <v>4</v>
          </cell>
          <cell r="Y793">
            <v>0.25</v>
          </cell>
          <cell r="AE793" t="str">
            <v>Clean</v>
          </cell>
          <cell r="AF793" t="str">
            <v>Match</v>
          </cell>
          <cell r="AG793" t="str">
            <v>Match</v>
          </cell>
        </row>
        <row r="794">
          <cell r="B794">
            <v>45812</v>
          </cell>
          <cell r="D794">
            <v>4</v>
          </cell>
          <cell r="Y794">
            <v>0.2</v>
          </cell>
          <cell r="AE794" t="str">
            <v>Clean</v>
          </cell>
          <cell r="AF794" t="str">
            <v>Match</v>
          </cell>
          <cell r="AG794" t="str">
            <v>Match</v>
          </cell>
        </row>
        <row r="795">
          <cell r="B795">
            <v>45440</v>
          </cell>
          <cell r="D795">
            <v>6</v>
          </cell>
          <cell r="Y795">
            <v>0</v>
          </cell>
          <cell r="AE795" t="str">
            <v>Clean</v>
          </cell>
          <cell r="AF795" t="str">
            <v>Match</v>
          </cell>
          <cell r="AG795" t="str">
            <v>Match</v>
          </cell>
        </row>
        <row r="796">
          <cell r="B796">
            <v>45830</v>
          </cell>
          <cell r="D796">
            <v>2</v>
          </cell>
          <cell r="Y796">
            <v>0.15</v>
          </cell>
          <cell r="AE796" t="str">
            <v>Clean</v>
          </cell>
          <cell r="AF796" t="str">
            <v>Match</v>
          </cell>
          <cell r="AG796" t="str">
            <v>Match</v>
          </cell>
        </row>
        <row r="797">
          <cell r="B797">
            <v>45503</v>
          </cell>
          <cell r="D797">
            <v>0</v>
          </cell>
          <cell r="Y797">
            <v>0</v>
          </cell>
          <cell r="AE797" t="str">
            <v>Clean</v>
          </cell>
          <cell r="AF797" t="str">
            <v>Match</v>
          </cell>
          <cell r="AG797" t="str">
            <v>Match</v>
          </cell>
        </row>
        <row r="798">
          <cell r="B798">
            <v>45374</v>
          </cell>
          <cell r="D798">
            <v>7</v>
          </cell>
          <cell r="Y798">
            <v>0.15</v>
          </cell>
          <cell r="AE798" t="str">
            <v>Clean</v>
          </cell>
          <cell r="AF798" t="str">
            <v>Match</v>
          </cell>
          <cell r="AG798" t="str">
            <v>Match</v>
          </cell>
        </row>
        <row r="799">
          <cell r="B799">
            <v>45400</v>
          </cell>
          <cell r="D799">
            <v>4</v>
          </cell>
          <cell r="Y799">
            <v>0</v>
          </cell>
          <cell r="AE799" t="str">
            <v>Clean</v>
          </cell>
          <cell r="AF799" t="str">
            <v>Match</v>
          </cell>
          <cell r="AG799" t="str">
            <v>Match</v>
          </cell>
        </row>
        <row r="800">
          <cell r="B800">
            <v>45849</v>
          </cell>
          <cell r="D800">
            <v>-2</v>
          </cell>
          <cell r="Y800">
            <v>0</v>
          </cell>
          <cell r="AE800" t="str">
            <v>Invalid</v>
          </cell>
          <cell r="AF800" t="str">
            <v>Match</v>
          </cell>
          <cell r="AG800" t="str">
            <v>Match</v>
          </cell>
        </row>
        <row r="801">
          <cell r="B801">
            <v>45575</v>
          </cell>
          <cell r="D801">
            <v>7</v>
          </cell>
          <cell r="Y801">
            <v>0.05</v>
          </cell>
          <cell r="AE801" t="str">
            <v>Clean</v>
          </cell>
          <cell r="AF801" t="str">
            <v>Match</v>
          </cell>
          <cell r="AG801" t="str">
            <v>Match</v>
          </cell>
        </row>
        <row r="802">
          <cell r="B802">
            <v>45352</v>
          </cell>
          <cell r="D802">
            <v>6</v>
          </cell>
          <cell r="Y802">
            <v>0.15</v>
          </cell>
          <cell r="AE802" t="str">
            <v>Clean</v>
          </cell>
          <cell r="AF802" t="str">
            <v>Match</v>
          </cell>
          <cell r="AG802" t="str">
            <v>Match</v>
          </cell>
        </row>
        <row r="803">
          <cell r="B803">
            <v>45938</v>
          </cell>
          <cell r="D803">
            <v>7</v>
          </cell>
          <cell r="Y803">
            <v>0.2</v>
          </cell>
          <cell r="AE803" t="str">
            <v>Clean</v>
          </cell>
          <cell r="AF803" t="str">
            <v>Match</v>
          </cell>
          <cell r="AG803" t="str">
            <v>Match</v>
          </cell>
        </row>
        <row r="804">
          <cell r="B804">
            <v>45704</v>
          </cell>
          <cell r="D804">
            <v>0</v>
          </cell>
          <cell r="Y804">
            <v>0</v>
          </cell>
          <cell r="AE804" t="str">
            <v>Clean</v>
          </cell>
          <cell r="AF804" t="str">
            <v>Match</v>
          </cell>
          <cell r="AG804" t="str">
            <v>Match</v>
          </cell>
        </row>
        <row r="805">
          <cell r="B805">
            <v>45635</v>
          </cell>
          <cell r="D805">
            <v>4</v>
          </cell>
          <cell r="Y805">
            <v>0</v>
          </cell>
          <cell r="AE805" t="str">
            <v>Clean</v>
          </cell>
          <cell r="AF805" t="str">
            <v>Match</v>
          </cell>
          <cell r="AG805" t="str">
            <v>Match</v>
          </cell>
        </row>
        <row r="806">
          <cell r="B806">
            <v>45910</v>
          </cell>
          <cell r="D806">
            <v>8</v>
          </cell>
          <cell r="Y806">
            <v>0.05</v>
          </cell>
          <cell r="AE806" t="str">
            <v>Clean</v>
          </cell>
          <cell r="AF806" t="str">
            <v>Match</v>
          </cell>
          <cell r="AG806" t="str">
            <v>Match</v>
          </cell>
        </row>
        <row r="807">
          <cell r="B807">
            <v>45753</v>
          </cell>
          <cell r="D807">
            <v>1</v>
          </cell>
          <cell r="Y807">
            <v>0.25</v>
          </cell>
          <cell r="AE807" t="str">
            <v>Clean</v>
          </cell>
          <cell r="AF807" t="str">
            <v>Match</v>
          </cell>
          <cell r="AG807" t="str">
            <v>Match</v>
          </cell>
        </row>
        <row r="808">
          <cell r="B808">
            <v>45605</v>
          </cell>
          <cell r="D808">
            <v>6</v>
          </cell>
          <cell r="Y808">
            <v>0.2</v>
          </cell>
          <cell r="AE808" t="str">
            <v>Clean</v>
          </cell>
          <cell r="AF808" t="str">
            <v>Match</v>
          </cell>
          <cell r="AG808" t="str">
            <v>Match</v>
          </cell>
        </row>
        <row r="809">
          <cell r="B809">
            <v>45695</v>
          </cell>
          <cell r="D809">
            <v>1</v>
          </cell>
          <cell r="Y809">
            <v>0.1</v>
          </cell>
          <cell r="AE809" t="str">
            <v>Clean</v>
          </cell>
          <cell r="AF809" t="str">
            <v>Match</v>
          </cell>
          <cell r="AG809" t="str">
            <v>Match</v>
          </cell>
        </row>
        <row r="810">
          <cell r="B810">
            <v>45900</v>
          </cell>
          <cell r="D810">
            <v>-3</v>
          </cell>
          <cell r="Y810">
            <v>0.2</v>
          </cell>
          <cell r="AE810" t="str">
            <v>Invalid</v>
          </cell>
          <cell r="AF810" t="str">
            <v>Match</v>
          </cell>
          <cell r="AG810" t="str">
            <v>Match</v>
          </cell>
        </row>
        <row r="811">
          <cell r="B811">
            <v>45833</v>
          </cell>
          <cell r="D811">
            <v>0</v>
          </cell>
          <cell r="Y811">
            <v>0.1</v>
          </cell>
          <cell r="AE811" t="str">
            <v>Clean</v>
          </cell>
          <cell r="AF811" t="str">
            <v>Match</v>
          </cell>
          <cell r="AG811" t="str">
            <v>Match</v>
          </cell>
        </row>
        <row r="812">
          <cell r="B812">
            <v>45385</v>
          </cell>
          <cell r="D812">
            <v>5</v>
          </cell>
          <cell r="Y812">
            <v>0.25</v>
          </cell>
          <cell r="AE812" t="str">
            <v>Clean</v>
          </cell>
          <cell r="AF812" t="str">
            <v>Match</v>
          </cell>
          <cell r="AG812" t="str">
            <v>Match</v>
          </cell>
        </row>
        <row r="813">
          <cell r="B813">
            <v>45638</v>
          </cell>
          <cell r="D813">
            <v>7</v>
          </cell>
          <cell r="Y813">
            <v>0.2</v>
          </cell>
          <cell r="AE813" t="str">
            <v>Clean</v>
          </cell>
          <cell r="AF813" t="str">
            <v>Match</v>
          </cell>
          <cell r="AG813" t="str">
            <v>Match</v>
          </cell>
        </row>
        <row r="814">
          <cell r="B814">
            <v>45458</v>
          </cell>
          <cell r="D814">
            <v>5</v>
          </cell>
          <cell r="Y814">
            <v>0</v>
          </cell>
          <cell r="AE814" t="str">
            <v>Clean</v>
          </cell>
          <cell r="AF814" t="str">
            <v>Match</v>
          </cell>
          <cell r="AG814" t="str">
            <v>Match</v>
          </cell>
        </row>
        <row r="815">
          <cell r="B815">
            <v>45753</v>
          </cell>
          <cell r="D815">
            <v>4</v>
          </cell>
          <cell r="Y815">
            <v>0</v>
          </cell>
          <cell r="AE815" t="str">
            <v>Clean</v>
          </cell>
          <cell r="AF815" t="str">
            <v>Match</v>
          </cell>
          <cell r="AG815" t="str">
            <v>Match</v>
          </cell>
        </row>
        <row r="816">
          <cell r="B816">
            <v>45875</v>
          </cell>
          <cell r="D816">
            <v>5</v>
          </cell>
          <cell r="Y816">
            <v>0.25</v>
          </cell>
          <cell r="AE816" t="str">
            <v>Clean</v>
          </cell>
          <cell r="AF816" t="str">
            <v>Match</v>
          </cell>
          <cell r="AG816" t="str">
            <v>Match</v>
          </cell>
        </row>
        <row r="817">
          <cell r="B817">
            <v>45383</v>
          </cell>
          <cell r="D817">
            <v>7</v>
          </cell>
          <cell r="Y817">
            <v>0.15</v>
          </cell>
          <cell r="AE817" t="str">
            <v>Clean</v>
          </cell>
          <cell r="AF817" t="str">
            <v>Match</v>
          </cell>
          <cell r="AG817" t="str">
            <v>Match</v>
          </cell>
        </row>
        <row r="818">
          <cell r="B818">
            <v>45623</v>
          </cell>
          <cell r="D818">
            <v>3</v>
          </cell>
          <cell r="Y818">
            <v>0.1</v>
          </cell>
          <cell r="AE818" t="str">
            <v>Clean</v>
          </cell>
          <cell r="AF818" t="str">
            <v>Match</v>
          </cell>
          <cell r="AG818" t="str">
            <v>Match</v>
          </cell>
        </row>
        <row r="819">
          <cell r="B819">
            <v>45752</v>
          </cell>
          <cell r="D819">
            <v>0</v>
          </cell>
          <cell r="Y819">
            <v>0.25</v>
          </cell>
          <cell r="AE819" t="str">
            <v>Clean</v>
          </cell>
          <cell r="AF819" t="str">
            <v>Match</v>
          </cell>
          <cell r="AG819" t="str">
            <v>Match</v>
          </cell>
        </row>
        <row r="820">
          <cell r="B820">
            <v>45564</v>
          </cell>
          <cell r="D820">
            <v>6</v>
          </cell>
          <cell r="Y820">
            <v>-0.14000000000000001</v>
          </cell>
          <cell r="AE820" t="str">
            <v>Invalid</v>
          </cell>
          <cell r="AF820" t="str">
            <v>Mismatch</v>
          </cell>
          <cell r="AG820" t="str">
            <v>Mismatch</v>
          </cell>
        </row>
        <row r="821">
          <cell r="B821">
            <v>45504</v>
          </cell>
          <cell r="D821">
            <v>0</v>
          </cell>
          <cell r="Y821">
            <v>0</v>
          </cell>
          <cell r="AE821" t="str">
            <v>Clean</v>
          </cell>
          <cell r="AF821" t="str">
            <v>Match</v>
          </cell>
          <cell r="AG821" t="str">
            <v>Match</v>
          </cell>
        </row>
        <row r="822">
          <cell r="B822">
            <v>45694</v>
          </cell>
          <cell r="D822">
            <v>4</v>
          </cell>
          <cell r="Y822">
            <v>0.2</v>
          </cell>
          <cell r="AE822" t="str">
            <v>Clean</v>
          </cell>
          <cell r="AF822" t="str">
            <v>Match</v>
          </cell>
          <cell r="AG822" t="str">
            <v>Match</v>
          </cell>
        </row>
        <row r="823">
          <cell r="B823">
            <v>45476</v>
          </cell>
          <cell r="D823">
            <v>3</v>
          </cell>
          <cell r="Y823">
            <v>0.2</v>
          </cell>
          <cell r="AE823" t="str">
            <v>Clean</v>
          </cell>
          <cell r="AF823" t="str">
            <v>Match</v>
          </cell>
          <cell r="AG823" t="str">
            <v>Match</v>
          </cell>
        </row>
        <row r="824">
          <cell r="B824">
            <v>45577</v>
          </cell>
          <cell r="D824">
            <v>-4</v>
          </cell>
          <cell r="Y824">
            <v>0.2</v>
          </cell>
          <cell r="AE824" t="str">
            <v>Invalid</v>
          </cell>
          <cell r="AF824" t="str">
            <v>Match</v>
          </cell>
          <cell r="AG824" t="str">
            <v>Match</v>
          </cell>
        </row>
        <row r="825">
          <cell r="B825">
            <v>45663</v>
          </cell>
          <cell r="D825">
            <v>6</v>
          </cell>
          <cell r="Y825">
            <v>0.15</v>
          </cell>
          <cell r="AE825" t="str">
            <v>Clean</v>
          </cell>
          <cell r="AF825" t="str">
            <v>Match</v>
          </cell>
          <cell r="AG825" t="str">
            <v>Match</v>
          </cell>
        </row>
        <row r="826">
          <cell r="B826">
            <v>45737</v>
          </cell>
          <cell r="D826">
            <v>1</v>
          </cell>
          <cell r="Y826">
            <v>0.05</v>
          </cell>
          <cell r="AE826" t="str">
            <v>Clean</v>
          </cell>
          <cell r="AF826" t="str">
            <v>Match</v>
          </cell>
          <cell r="AG826" t="str">
            <v>Match</v>
          </cell>
        </row>
        <row r="827">
          <cell r="B827">
            <v>45763</v>
          </cell>
          <cell r="D827">
            <v>1</v>
          </cell>
          <cell r="Y827">
            <v>0</v>
          </cell>
          <cell r="AE827" t="str">
            <v>Clean</v>
          </cell>
          <cell r="AF827" t="str">
            <v>Match</v>
          </cell>
          <cell r="AG827" t="str">
            <v>Match</v>
          </cell>
        </row>
        <row r="828">
          <cell r="B828">
            <v>45879</v>
          </cell>
          <cell r="D828">
            <v>4</v>
          </cell>
          <cell r="Y828">
            <v>0.25</v>
          </cell>
          <cell r="AE828" t="str">
            <v>Clean</v>
          </cell>
          <cell r="AF828" t="str">
            <v>Match</v>
          </cell>
          <cell r="AG828" t="str">
            <v>Match</v>
          </cell>
        </row>
        <row r="829">
          <cell r="B829">
            <v>45620</v>
          </cell>
          <cell r="D829">
            <v>7</v>
          </cell>
          <cell r="Y829">
            <v>0.25</v>
          </cell>
          <cell r="AE829" t="str">
            <v>Clean</v>
          </cell>
          <cell r="AF829" t="str">
            <v>Match</v>
          </cell>
          <cell r="AG829" t="str">
            <v>Match</v>
          </cell>
        </row>
        <row r="830">
          <cell r="B830">
            <v>45940</v>
          </cell>
          <cell r="D830">
            <v>1</v>
          </cell>
          <cell r="Y830">
            <v>0.05</v>
          </cell>
          <cell r="AE830" t="str">
            <v>Clean</v>
          </cell>
          <cell r="AF830" t="str">
            <v>Match</v>
          </cell>
          <cell r="AG830" t="str">
            <v>Match</v>
          </cell>
        </row>
        <row r="831">
          <cell r="B831">
            <v>45348</v>
          </cell>
          <cell r="D831">
            <v>2</v>
          </cell>
          <cell r="Y831">
            <v>0.1</v>
          </cell>
          <cell r="AE831" t="str">
            <v>Clean</v>
          </cell>
          <cell r="AF831" t="str">
            <v>Match</v>
          </cell>
          <cell r="AG831" t="str">
            <v>Match</v>
          </cell>
        </row>
        <row r="832">
          <cell r="B832">
            <v>45853</v>
          </cell>
          <cell r="D832">
            <v>3</v>
          </cell>
          <cell r="Y832">
            <v>0.1</v>
          </cell>
          <cell r="AE832" t="str">
            <v>Clean</v>
          </cell>
          <cell r="AF832" t="str">
            <v>Match</v>
          </cell>
          <cell r="AG832" t="str">
            <v>Match</v>
          </cell>
        </row>
        <row r="833">
          <cell r="B833">
            <v>45750</v>
          </cell>
          <cell r="D833">
            <v>0</v>
          </cell>
          <cell r="Y833">
            <v>0.15</v>
          </cell>
          <cell r="AE833" t="str">
            <v>Clean</v>
          </cell>
          <cell r="AF833" t="str">
            <v>Match</v>
          </cell>
          <cell r="AG833" t="str">
            <v>Match</v>
          </cell>
        </row>
        <row r="834">
          <cell r="B834">
            <v>45803</v>
          </cell>
          <cell r="D834">
            <v>2</v>
          </cell>
          <cell r="Y834">
            <v>0.05</v>
          </cell>
          <cell r="AE834" t="str">
            <v>Clean</v>
          </cell>
          <cell r="AF834" t="str">
            <v>Match</v>
          </cell>
          <cell r="AG834" t="str">
            <v>Match</v>
          </cell>
        </row>
        <row r="835">
          <cell r="B835">
            <v>45447</v>
          </cell>
          <cell r="D835">
            <v>0</v>
          </cell>
          <cell r="Y835">
            <v>0</v>
          </cell>
          <cell r="AE835" t="str">
            <v>Clean</v>
          </cell>
          <cell r="AF835" t="str">
            <v>Match</v>
          </cell>
          <cell r="AG835" t="str">
            <v>Match</v>
          </cell>
        </row>
        <row r="836">
          <cell r="B836">
            <v>45583</v>
          </cell>
          <cell r="D836">
            <v>4</v>
          </cell>
          <cell r="Y836">
            <v>0</v>
          </cell>
          <cell r="AE836" t="str">
            <v>Clean</v>
          </cell>
          <cell r="AF836" t="str">
            <v>Match</v>
          </cell>
          <cell r="AG836" t="str">
            <v>Mismatch</v>
          </cell>
        </row>
        <row r="837">
          <cell r="B837">
            <v>45926</v>
          </cell>
          <cell r="D837">
            <v>8</v>
          </cell>
          <cell r="Y837">
            <v>0.05</v>
          </cell>
          <cell r="AE837" t="str">
            <v>Clean</v>
          </cell>
          <cell r="AF837" t="str">
            <v>Match</v>
          </cell>
          <cell r="AG837" t="str">
            <v>Match</v>
          </cell>
        </row>
        <row r="838">
          <cell r="B838">
            <v>45641</v>
          </cell>
          <cell r="D838">
            <v>3</v>
          </cell>
          <cell r="Y838">
            <v>0</v>
          </cell>
          <cell r="AE838" t="str">
            <v>Clean</v>
          </cell>
          <cell r="AF838" t="str">
            <v>Match</v>
          </cell>
          <cell r="AG838" t="str">
            <v>Match</v>
          </cell>
        </row>
        <row r="839">
          <cell r="B839">
            <v>45927</v>
          </cell>
          <cell r="D839">
            <v>1</v>
          </cell>
          <cell r="Y839">
            <v>0.25</v>
          </cell>
          <cell r="AE839" t="str">
            <v>Clean</v>
          </cell>
          <cell r="AF839" t="str">
            <v>Match</v>
          </cell>
          <cell r="AG839" t="str">
            <v>Match</v>
          </cell>
        </row>
        <row r="840">
          <cell r="B840">
            <v>45750</v>
          </cell>
          <cell r="D840">
            <v>4</v>
          </cell>
          <cell r="Y840">
            <v>0</v>
          </cell>
          <cell r="AE840" t="str">
            <v>Clean</v>
          </cell>
          <cell r="AF840" t="str">
            <v>Match</v>
          </cell>
          <cell r="AG840" t="str">
            <v>Match</v>
          </cell>
        </row>
        <row r="841">
          <cell r="B841">
            <v>45555</v>
          </cell>
          <cell r="D841">
            <v>2</v>
          </cell>
          <cell r="Y841">
            <v>0.1</v>
          </cell>
          <cell r="AE841" t="str">
            <v>Clean</v>
          </cell>
          <cell r="AF841" t="str">
            <v>Match</v>
          </cell>
          <cell r="AG841" t="str">
            <v>Match</v>
          </cell>
        </row>
        <row r="842">
          <cell r="B842">
            <v>45919</v>
          </cell>
          <cell r="D842">
            <v>0</v>
          </cell>
          <cell r="Y842">
            <v>0</v>
          </cell>
          <cell r="AE842" t="str">
            <v>Clean</v>
          </cell>
          <cell r="AF842" t="str">
            <v>Match</v>
          </cell>
          <cell r="AG842" t="str">
            <v>Match</v>
          </cell>
        </row>
        <row r="843">
          <cell r="B843">
            <v>45694</v>
          </cell>
          <cell r="D843">
            <v>6</v>
          </cell>
          <cell r="Y843">
            <v>0.25</v>
          </cell>
          <cell r="AE843" t="str">
            <v>Clean</v>
          </cell>
          <cell r="AF843" t="str">
            <v>Match</v>
          </cell>
          <cell r="AG843" t="str">
            <v>Match</v>
          </cell>
        </row>
        <row r="844">
          <cell r="B844">
            <v>45382</v>
          </cell>
          <cell r="D844">
            <v>-1</v>
          </cell>
          <cell r="Y844">
            <v>0.15</v>
          </cell>
          <cell r="AE844" t="str">
            <v>Invalid</v>
          </cell>
          <cell r="AF844" t="str">
            <v>Match</v>
          </cell>
          <cell r="AG844" t="str">
            <v>Match</v>
          </cell>
        </row>
        <row r="845">
          <cell r="B845">
            <v>45856</v>
          </cell>
          <cell r="D845">
            <v>7</v>
          </cell>
          <cell r="Y845">
            <v>-0.02</v>
          </cell>
          <cell r="AE845" t="str">
            <v>Invalid</v>
          </cell>
          <cell r="AF845" t="str">
            <v>Mismatch</v>
          </cell>
          <cell r="AG845" t="str">
            <v>Mismatch</v>
          </cell>
        </row>
        <row r="846">
          <cell r="B846">
            <v>45677</v>
          </cell>
          <cell r="D846">
            <v>5</v>
          </cell>
          <cell r="Y846">
            <v>0</v>
          </cell>
          <cell r="AE846" t="str">
            <v>Clean</v>
          </cell>
          <cell r="AF846" t="str">
            <v>Match</v>
          </cell>
          <cell r="AG846" t="str">
            <v>Match</v>
          </cell>
        </row>
        <row r="847">
          <cell r="B847">
            <v>45345</v>
          </cell>
          <cell r="D847">
            <v>4</v>
          </cell>
          <cell r="Y847">
            <v>0.25</v>
          </cell>
          <cell r="AE847" t="str">
            <v>Clean</v>
          </cell>
          <cell r="AF847" t="str">
            <v>Match</v>
          </cell>
          <cell r="AG847" t="str">
            <v>Match</v>
          </cell>
        </row>
        <row r="848">
          <cell r="B848">
            <v>45396</v>
          </cell>
          <cell r="D848">
            <v>8</v>
          </cell>
          <cell r="Y848">
            <v>0</v>
          </cell>
          <cell r="AE848" t="str">
            <v>Clean</v>
          </cell>
          <cell r="AF848" t="str">
            <v>Match</v>
          </cell>
          <cell r="AG848" t="str">
            <v>Match</v>
          </cell>
        </row>
        <row r="849">
          <cell r="B849">
            <v>45797</v>
          </cell>
          <cell r="D849">
            <v>2</v>
          </cell>
          <cell r="Y849">
            <v>0.2</v>
          </cell>
          <cell r="AE849" t="str">
            <v>Clean</v>
          </cell>
          <cell r="AF849" t="str">
            <v>Match</v>
          </cell>
          <cell r="AG849" t="str">
            <v>Match</v>
          </cell>
        </row>
        <row r="850">
          <cell r="B850">
            <v>45804</v>
          </cell>
          <cell r="D850">
            <v>2</v>
          </cell>
          <cell r="Y850">
            <v>0.25</v>
          </cell>
          <cell r="AE850" t="str">
            <v>Clean</v>
          </cell>
          <cell r="AF850" t="str">
            <v>Match</v>
          </cell>
          <cell r="AG850" t="str">
            <v>Match</v>
          </cell>
        </row>
        <row r="851">
          <cell r="B851">
            <v>45357</v>
          </cell>
          <cell r="D851">
            <v>6</v>
          </cell>
          <cell r="Y851">
            <v>0.2</v>
          </cell>
          <cell r="AE851" t="str">
            <v>Clean</v>
          </cell>
          <cell r="AF851" t="str">
            <v>Match</v>
          </cell>
          <cell r="AG851" t="str">
            <v>Mismatch</v>
          </cell>
        </row>
        <row r="852">
          <cell r="B852">
            <v>45473</v>
          </cell>
          <cell r="D852">
            <v>3</v>
          </cell>
          <cell r="Y852">
            <v>0</v>
          </cell>
          <cell r="AE852" t="str">
            <v>Clean</v>
          </cell>
          <cell r="AF852" t="str">
            <v>Match</v>
          </cell>
          <cell r="AG852" t="str">
            <v>Match</v>
          </cell>
        </row>
        <row r="853">
          <cell r="B853">
            <v>45377</v>
          </cell>
          <cell r="D853">
            <v>6</v>
          </cell>
          <cell r="Y853">
            <v>0.2</v>
          </cell>
          <cell r="AE853" t="str">
            <v>Clean</v>
          </cell>
          <cell r="AF853" t="str">
            <v>Match</v>
          </cell>
          <cell r="AG853" t="str">
            <v>Match</v>
          </cell>
        </row>
        <row r="854">
          <cell r="B854">
            <v>45383</v>
          </cell>
          <cell r="D854">
            <v>7</v>
          </cell>
          <cell r="Y854">
            <v>0.15</v>
          </cell>
          <cell r="AE854" t="str">
            <v>Clean</v>
          </cell>
          <cell r="AF854" t="str">
            <v>Match</v>
          </cell>
          <cell r="AG854" t="str">
            <v>Match</v>
          </cell>
        </row>
        <row r="855">
          <cell r="B855">
            <v>45793</v>
          </cell>
          <cell r="D855">
            <v>6</v>
          </cell>
          <cell r="Y855">
            <v>0.2</v>
          </cell>
          <cell r="AE855" t="str">
            <v>Clean</v>
          </cell>
          <cell r="AF855" t="str">
            <v>Match</v>
          </cell>
          <cell r="AG855" t="str">
            <v>Match</v>
          </cell>
        </row>
        <row r="856">
          <cell r="B856">
            <v>45741</v>
          </cell>
          <cell r="D856">
            <v>8</v>
          </cell>
          <cell r="Y856">
            <v>0.05</v>
          </cell>
          <cell r="AE856" t="str">
            <v>Clean</v>
          </cell>
          <cell r="AF856" t="str">
            <v>Match</v>
          </cell>
          <cell r="AG856" t="str">
            <v>Match</v>
          </cell>
        </row>
        <row r="857">
          <cell r="B857">
            <v>45498</v>
          </cell>
          <cell r="D857">
            <v>8</v>
          </cell>
          <cell r="Y857">
            <v>0.25</v>
          </cell>
          <cell r="AE857" t="str">
            <v>Clean</v>
          </cell>
          <cell r="AF857" t="str">
            <v>Match</v>
          </cell>
          <cell r="AG857" t="str">
            <v>Match</v>
          </cell>
        </row>
        <row r="858">
          <cell r="B858">
            <v>45455</v>
          </cell>
          <cell r="D858">
            <v>7</v>
          </cell>
          <cell r="Y858">
            <v>-0.16</v>
          </cell>
          <cell r="AE858" t="str">
            <v>Invalid</v>
          </cell>
          <cell r="AF858" t="str">
            <v>Mismatch</v>
          </cell>
          <cell r="AG858" t="str">
            <v>Mismatch</v>
          </cell>
        </row>
        <row r="859">
          <cell r="B859">
            <v>45447</v>
          </cell>
          <cell r="D859">
            <v>0</v>
          </cell>
          <cell r="Y859">
            <v>0.25</v>
          </cell>
          <cell r="AE859" t="str">
            <v>Clean</v>
          </cell>
          <cell r="AF859" t="str">
            <v>Match</v>
          </cell>
          <cell r="AG859" t="str">
            <v>Match</v>
          </cell>
        </row>
        <row r="860">
          <cell r="B860">
            <v>45414</v>
          </cell>
          <cell r="D860">
            <v>7</v>
          </cell>
          <cell r="Y860">
            <v>0</v>
          </cell>
          <cell r="AE860" t="str">
            <v>Clean</v>
          </cell>
          <cell r="AF860" t="str">
            <v>Match</v>
          </cell>
          <cell r="AG860" t="str">
            <v>Mismatch</v>
          </cell>
        </row>
        <row r="861">
          <cell r="B861">
            <v>45592</v>
          </cell>
          <cell r="D861">
            <v>5</v>
          </cell>
          <cell r="Y861">
            <v>0.05</v>
          </cell>
          <cell r="AE861" t="str">
            <v>Clean</v>
          </cell>
          <cell r="AF861" t="str">
            <v>Match</v>
          </cell>
          <cell r="AG861" t="str">
            <v>Match</v>
          </cell>
        </row>
        <row r="862">
          <cell r="B862">
            <v>45324</v>
          </cell>
          <cell r="D862">
            <v>2</v>
          </cell>
          <cell r="Y862">
            <v>0.05</v>
          </cell>
          <cell r="AE862" t="str">
            <v>Clean</v>
          </cell>
          <cell r="AF862" t="str">
            <v>Match</v>
          </cell>
          <cell r="AG862" t="str">
            <v>Match</v>
          </cell>
        </row>
        <row r="863">
          <cell r="B863">
            <v>45724</v>
          </cell>
          <cell r="D863">
            <v>1</v>
          </cell>
          <cell r="Y863">
            <v>0.2</v>
          </cell>
          <cell r="AE863" t="str">
            <v>Clean</v>
          </cell>
          <cell r="AF863" t="str">
            <v>Match</v>
          </cell>
          <cell r="AG863" t="str">
            <v>Match</v>
          </cell>
        </row>
        <row r="864">
          <cell r="B864">
            <v>45742</v>
          </cell>
          <cell r="D864">
            <v>5</v>
          </cell>
          <cell r="Y864">
            <v>0</v>
          </cell>
          <cell r="AE864" t="str">
            <v>Clean</v>
          </cell>
          <cell r="AF864" t="str">
            <v>Match</v>
          </cell>
          <cell r="AG864" t="str">
            <v>Match</v>
          </cell>
        </row>
        <row r="865">
          <cell r="B865">
            <v>45906</v>
          </cell>
          <cell r="D865">
            <v>2</v>
          </cell>
          <cell r="Y865">
            <v>0</v>
          </cell>
          <cell r="AE865" t="str">
            <v>Clean</v>
          </cell>
          <cell r="AF865" t="str">
            <v>Match</v>
          </cell>
          <cell r="AG865" t="str">
            <v>Match</v>
          </cell>
        </row>
        <row r="866">
          <cell r="B866">
            <v>45902</v>
          </cell>
          <cell r="D866">
            <v>3</v>
          </cell>
          <cell r="Y866">
            <v>0</v>
          </cell>
          <cell r="AE866" t="str">
            <v>Clean</v>
          </cell>
          <cell r="AF866" t="str">
            <v>Match</v>
          </cell>
          <cell r="AG866" t="str">
            <v>Match</v>
          </cell>
        </row>
        <row r="867">
          <cell r="B867">
            <v>45694</v>
          </cell>
          <cell r="D867">
            <v>8</v>
          </cell>
          <cell r="Y867">
            <v>0</v>
          </cell>
          <cell r="AE867" t="str">
            <v>Clean</v>
          </cell>
          <cell r="AF867" t="str">
            <v>Match</v>
          </cell>
          <cell r="AG867" t="str">
            <v>Match</v>
          </cell>
        </row>
        <row r="868">
          <cell r="B868">
            <v>45714</v>
          </cell>
          <cell r="D868">
            <v>8</v>
          </cell>
          <cell r="Y868">
            <v>0.2</v>
          </cell>
          <cell r="AE868" t="str">
            <v>Clean</v>
          </cell>
          <cell r="AF868" t="str">
            <v>Match</v>
          </cell>
          <cell r="AG868" t="str">
            <v>Match</v>
          </cell>
        </row>
        <row r="869">
          <cell r="B869">
            <v>45617</v>
          </cell>
          <cell r="D869">
            <v>1</v>
          </cell>
          <cell r="Y869">
            <v>0.25</v>
          </cell>
          <cell r="AE869" t="str">
            <v>Clean</v>
          </cell>
          <cell r="AF869" t="str">
            <v>Match</v>
          </cell>
          <cell r="AG869" t="str">
            <v>Match</v>
          </cell>
        </row>
        <row r="870">
          <cell r="B870">
            <v>45758</v>
          </cell>
          <cell r="D870">
            <v>4</v>
          </cell>
          <cell r="Y870">
            <v>0.05</v>
          </cell>
          <cell r="AE870" t="str">
            <v>Clean</v>
          </cell>
          <cell r="AF870" t="str">
            <v>Match</v>
          </cell>
          <cell r="AG870" t="str">
            <v>Match</v>
          </cell>
        </row>
        <row r="871">
          <cell r="B871">
            <v>45722</v>
          </cell>
          <cell r="D871">
            <v>1</v>
          </cell>
          <cell r="Y871">
            <v>0.1</v>
          </cell>
          <cell r="AE871" t="str">
            <v>Clean</v>
          </cell>
          <cell r="AF871" t="str">
            <v>Match</v>
          </cell>
          <cell r="AG871" t="str">
            <v>Match</v>
          </cell>
        </row>
        <row r="872">
          <cell r="B872">
            <v>45814</v>
          </cell>
          <cell r="D872">
            <v>1</v>
          </cell>
          <cell r="Y872">
            <v>0.15</v>
          </cell>
          <cell r="AE872" t="str">
            <v>Clean</v>
          </cell>
          <cell r="AF872" t="str">
            <v>Match</v>
          </cell>
          <cell r="AG872" t="str">
            <v>Match</v>
          </cell>
        </row>
        <row r="873">
          <cell r="B873">
            <v>45342</v>
          </cell>
          <cell r="D873">
            <v>2</v>
          </cell>
          <cell r="Y873">
            <v>0</v>
          </cell>
          <cell r="AE873" t="str">
            <v>Clean</v>
          </cell>
          <cell r="AF873" t="str">
            <v>Match</v>
          </cell>
          <cell r="AG873" t="str">
            <v>Match</v>
          </cell>
        </row>
        <row r="874">
          <cell r="B874">
            <v>45597</v>
          </cell>
          <cell r="D874">
            <v>1</v>
          </cell>
          <cell r="Y874">
            <v>0.2</v>
          </cell>
          <cell r="AE874" t="str">
            <v>Clean</v>
          </cell>
          <cell r="AF874" t="str">
            <v>Match</v>
          </cell>
          <cell r="AG874" t="str">
            <v>Match</v>
          </cell>
        </row>
        <row r="875">
          <cell r="B875">
            <v>45689</v>
          </cell>
          <cell r="D875">
            <v>7</v>
          </cell>
          <cell r="Y875">
            <v>0.1</v>
          </cell>
          <cell r="AE875" t="str">
            <v>Clean</v>
          </cell>
          <cell r="AF875" t="str">
            <v>Match</v>
          </cell>
          <cell r="AG875" t="str">
            <v>Match</v>
          </cell>
        </row>
        <row r="876">
          <cell r="B876">
            <v>45853</v>
          </cell>
          <cell r="D876">
            <v>1</v>
          </cell>
          <cell r="Y876">
            <v>0.05</v>
          </cell>
          <cell r="AE876" t="str">
            <v>Clean</v>
          </cell>
          <cell r="AF876" t="str">
            <v>Match</v>
          </cell>
          <cell r="AG876" t="str">
            <v>Match</v>
          </cell>
        </row>
        <row r="877">
          <cell r="B877">
            <v>45514</v>
          </cell>
          <cell r="D877">
            <v>1</v>
          </cell>
          <cell r="Y877">
            <v>0.2</v>
          </cell>
          <cell r="AE877" t="str">
            <v>Clean</v>
          </cell>
          <cell r="AF877" t="str">
            <v>Match</v>
          </cell>
          <cell r="AG877" t="str">
            <v>Match</v>
          </cell>
        </row>
        <row r="878">
          <cell r="B878">
            <v>45614</v>
          </cell>
          <cell r="D878">
            <v>2</v>
          </cell>
          <cell r="Y878">
            <v>0</v>
          </cell>
          <cell r="AE878" t="str">
            <v>Clean</v>
          </cell>
          <cell r="AF878" t="str">
            <v>Match</v>
          </cell>
          <cell r="AG878" t="str">
            <v>Match</v>
          </cell>
        </row>
        <row r="879">
          <cell r="B879">
            <v>45895</v>
          </cell>
          <cell r="D879">
            <v>8</v>
          </cell>
          <cell r="Y879">
            <v>0.1</v>
          </cell>
          <cell r="AE879" t="str">
            <v>Clean</v>
          </cell>
          <cell r="AF879" t="str">
            <v>Match</v>
          </cell>
          <cell r="AG879" t="str">
            <v>Match</v>
          </cell>
        </row>
        <row r="880">
          <cell r="B880">
            <v>45313</v>
          </cell>
          <cell r="D880">
            <v>0</v>
          </cell>
          <cell r="Y880">
            <v>0.05</v>
          </cell>
          <cell r="AE880" t="str">
            <v>Clean</v>
          </cell>
          <cell r="AF880" t="str">
            <v>Match</v>
          </cell>
          <cell r="AG880" t="str">
            <v>Match</v>
          </cell>
        </row>
        <row r="881">
          <cell r="B881">
            <v>45896</v>
          </cell>
          <cell r="D881">
            <v>1</v>
          </cell>
          <cell r="Y881">
            <v>0.15</v>
          </cell>
          <cell r="AE881" t="str">
            <v>Clean</v>
          </cell>
          <cell r="AF881" t="str">
            <v>Match</v>
          </cell>
          <cell r="AG881" t="str">
            <v>Match</v>
          </cell>
        </row>
        <row r="882">
          <cell r="B882">
            <v>45359</v>
          </cell>
          <cell r="D882">
            <v>7</v>
          </cell>
          <cell r="Y882">
            <v>0</v>
          </cell>
          <cell r="AE882" t="str">
            <v>Clean</v>
          </cell>
          <cell r="AF882" t="str">
            <v>Match</v>
          </cell>
          <cell r="AG882" t="str">
            <v>Match</v>
          </cell>
        </row>
        <row r="883">
          <cell r="B883">
            <v>45627</v>
          </cell>
          <cell r="D883">
            <v>4</v>
          </cell>
          <cell r="Y883">
            <v>0.25</v>
          </cell>
          <cell r="AE883" t="str">
            <v>Clean</v>
          </cell>
          <cell r="AF883" t="str">
            <v>Match</v>
          </cell>
          <cell r="AG883" t="str">
            <v>Match</v>
          </cell>
        </row>
        <row r="884">
          <cell r="B884">
            <v>45690</v>
          </cell>
          <cell r="D884">
            <v>8</v>
          </cell>
          <cell r="Y884">
            <v>0</v>
          </cell>
          <cell r="AE884" t="str">
            <v>Clean</v>
          </cell>
          <cell r="AF884" t="str">
            <v>Match</v>
          </cell>
          <cell r="AG884" t="str">
            <v>Match</v>
          </cell>
        </row>
        <row r="885">
          <cell r="B885">
            <v>45775</v>
          </cell>
          <cell r="D885">
            <v>3</v>
          </cell>
          <cell r="Y885">
            <v>0</v>
          </cell>
          <cell r="AE885" t="str">
            <v>Clean</v>
          </cell>
          <cell r="AF885" t="str">
            <v>Match</v>
          </cell>
          <cell r="AG885" t="str">
            <v>Match</v>
          </cell>
        </row>
        <row r="886">
          <cell r="B886">
            <v>45675</v>
          </cell>
          <cell r="D886">
            <v>7</v>
          </cell>
          <cell r="Y886">
            <v>0.15</v>
          </cell>
          <cell r="AE886" t="str">
            <v>Clean</v>
          </cell>
          <cell r="AF886" t="str">
            <v>Match</v>
          </cell>
          <cell r="AG886" t="str">
            <v>Match</v>
          </cell>
        </row>
        <row r="887">
          <cell r="B887">
            <v>45296</v>
          </cell>
          <cell r="D887">
            <v>0</v>
          </cell>
          <cell r="Y887">
            <v>0.25</v>
          </cell>
          <cell r="AE887" t="str">
            <v>Clean</v>
          </cell>
          <cell r="AF887" t="str">
            <v>Match</v>
          </cell>
          <cell r="AG887" t="str">
            <v>Match</v>
          </cell>
        </row>
        <row r="888">
          <cell r="B888">
            <v>45773</v>
          </cell>
          <cell r="D888">
            <v>7</v>
          </cell>
          <cell r="Y888">
            <v>0.15</v>
          </cell>
          <cell r="AE888" t="str">
            <v>Clean</v>
          </cell>
          <cell r="AF888" t="str">
            <v>Match</v>
          </cell>
          <cell r="AG888" t="str">
            <v>Match</v>
          </cell>
        </row>
        <row r="889">
          <cell r="B889">
            <v>45455</v>
          </cell>
          <cell r="D889">
            <v>6</v>
          </cell>
          <cell r="Y889">
            <v>0</v>
          </cell>
          <cell r="AE889" t="str">
            <v>Clean</v>
          </cell>
          <cell r="AF889" t="str">
            <v>Match</v>
          </cell>
          <cell r="AG889" t="str">
            <v>Match</v>
          </cell>
        </row>
        <row r="890">
          <cell r="B890">
            <v>45875</v>
          </cell>
          <cell r="D890">
            <v>1</v>
          </cell>
          <cell r="Y890">
            <v>0.1</v>
          </cell>
          <cell r="AE890" t="str">
            <v>Clean</v>
          </cell>
          <cell r="AF890" t="str">
            <v>Match</v>
          </cell>
          <cell r="AG890" t="str">
            <v>Match</v>
          </cell>
        </row>
        <row r="891">
          <cell r="B891">
            <v>45726</v>
          </cell>
          <cell r="D891">
            <v>1</v>
          </cell>
          <cell r="Y891">
            <v>0.25</v>
          </cell>
          <cell r="AE891" t="str">
            <v>Clean</v>
          </cell>
          <cell r="AF891" t="str">
            <v>Match</v>
          </cell>
          <cell r="AG891" t="str">
            <v>Match</v>
          </cell>
        </row>
        <row r="892">
          <cell r="B892">
            <v>45427</v>
          </cell>
          <cell r="D892">
            <v>6</v>
          </cell>
          <cell r="Y892">
            <v>0.2</v>
          </cell>
          <cell r="AE892" t="str">
            <v>Clean</v>
          </cell>
          <cell r="AF892" t="str">
            <v>Match</v>
          </cell>
          <cell r="AG892" t="str">
            <v>Match</v>
          </cell>
        </row>
        <row r="893">
          <cell r="B893">
            <v>45573</v>
          </cell>
          <cell r="D893">
            <v>1</v>
          </cell>
          <cell r="Y893">
            <v>0.1</v>
          </cell>
          <cell r="AE893" t="str">
            <v>Clean</v>
          </cell>
          <cell r="AF893" t="str">
            <v>Match</v>
          </cell>
          <cell r="AG893" t="str">
            <v>Match</v>
          </cell>
        </row>
        <row r="894">
          <cell r="B894">
            <v>45759</v>
          </cell>
          <cell r="D894">
            <v>6</v>
          </cell>
          <cell r="Y894">
            <v>0.2</v>
          </cell>
          <cell r="AE894" t="str">
            <v>Clean</v>
          </cell>
          <cell r="AF894" t="str">
            <v>Match</v>
          </cell>
          <cell r="AG894" t="str">
            <v>Match</v>
          </cell>
        </row>
        <row r="895">
          <cell r="B895">
            <v>45449</v>
          </cell>
          <cell r="D895">
            <v>2</v>
          </cell>
          <cell r="Y895">
            <v>0.05</v>
          </cell>
          <cell r="AE895" t="str">
            <v>Clean</v>
          </cell>
          <cell r="AF895" t="str">
            <v>Match</v>
          </cell>
          <cell r="AG895" t="str">
            <v>Match</v>
          </cell>
        </row>
        <row r="896">
          <cell r="B896">
            <v>45344</v>
          </cell>
          <cell r="D896">
            <v>7</v>
          </cell>
          <cell r="Y896">
            <v>0</v>
          </cell>
          <cell r="AE896" t="str">
            <v>Clean</v>
          </cell>
          <cell r="AF896" t="str">
            <v>Match</v>
          </cell>
          <cell r="AG896" t="str">
            <v>Match</v>
          </cell>
        </row>
        <row r="897">
          <cell r="B897">
            <v>45601</v>
          </cell>
          <cell r="D897">
            <v>5</v>
          </cell>
          <cell r="Y897">
            <v>0.15</v>
          </cell>
          <cell r="AE897" t="str">
            <v>Clean</v>
          </cell>
          <cell r="AF897" t="str">
            <v>Match</v>
          </cell>
          <cell r="AG897" t="str">
            <v>Match</v>
          </cell>
        </row>
        <row r="898">
          <cell r="B898">
            <v>45650</v>
          </cell>
          <cell r="D898">
            <v>1</v>
          </cell>
          <cell r="Y898">
            <v>0.05</v>
          </cell>
          <cell r="AE898" t="str">
            <v>Clean</v>
          </cell>
          <cell r="AF898" t="str">
            <v>Match</v>
          </cell>
          <cell r="AG898" t="str">
            <v>Match</v>
          </cell>
        </row>
        <row r="899">
          <cell r="B899">
            <v>45776</v>
          </cell>
          <cell r="D899">
            <v>4</v>
          </cell>
          <cell r="Y899">
            <v>0.05</v>
          </cell>
          <cell r="AE899" t="str">
            <v>Clean</v>
          </cell>
          <cell r="AF899" t="str">
            <v>Match</v>
          </cell>
          <cell r="AG899" t="str">
            <v>Match</v>
          </cell>
        </row>
        <row r="900">
          <cell r="B900">
            <v>45445</v>
          </cell>
          <cell r="D900">
            <v>6</v>
          </cell>
          <cell r="Y900">
            <v>0.2</v>
          </cell>
          <cell r="AE900" t="str">
            <v>Clean</v>
          </cell>
          <cell r="AF900" t="str">
            <v>Match</v>
          </cell>
          <cell r="AG900" t="str">
            <v>Match</v>
          </cell>
        </row>
        <row r="901">
          <cell r="B901">
            <v>45804</v>
          </cell>
          <cell r="D901">
            <v>7</v>
          </cell>
          <cell r="Y901">
            <v>0.25</v>
          </cell>
          <cell r="AE901" t="str">
            <v>Clean</v>
          </cell>
          <cell r="AF901" t="str">
            <v>Match</v>
          </cell>
          <cell r="AG901" t="str">
            <v>Match</v>
          </cell>
        </row>
        <row r="902">
          <cell r="B902">
            <v>45630</v>
          </cell>
          <cell r="D902">
            <v>2</v>
          </cell>
          <cell r="Y902">
            <v>0</v>
          </cell>
          <cell r="AE902" t="str">
            <v>Warning</v>
          </cell>
          <cell r="AF902" t="str">
            <v>Mismatch</v>
          </cell>
          <cell r="AG902" t="str">
            <v>Match</v>
          </cell>
        </row>
        <row r="903">
          <cell r="B903">
            <v>45893</v>
          </cell>
          <cell r="D903">
            <v>5</v>
          </cell>
          <cell r="Y903">
            <v>0.15</v>
          </cell>
          <cell r="AE903" t="str">
            <v>Warning</v>
          </cell>
          <cell r="AF903" t="str">
            <v>Mismatch</v>
          </cell>
          <cell r="AG903" t="str">
            <v>Match</v>
          </cell>
        </row>
        <row r="904">
          <cell r="B904">
            <v>45760</v>
          </cell>
          <cell r="D904">
            <v>0</v>
          </cell>
          <cell r="Y904">
            <v>0</v>
          </cell>
          <cell r="AE904" t="str">
            <v>Warning</v>
          </cell>
          <cell r="AF904" t="str">
            <v>Mismatch</v>
          </cell>
          <cell r="AG904" t="str">
            <v>Match</v>
          </cell>
        </row>
        <row r="905">
          <cell r="B905">
            <v>45932</v>
          </cell>
          <cell r="D905">
            <v>6</v>
          </cell>
          <cell r="Y905">
            <v>0.25</v>
          </cell>
          <cell r="AE905" t="str">
            <v>Warning</v>
          </cell>
          <cell r="AF905" t="str">
            <v>Mismatch</v>
          </cell>
          <cell r="AG905" t="str">
            <v>Match</v>
          </cell>
        </row>
        <row r="906">
          <cell r="B906">
            <v>45795</v>
          </cell>
          <cell r="D906">
            <v>2</v>
          </cell>
          <cell r="Y906">
            <v>0.15</v>
          </cell>
          <cell r="AE906" t="str">
            <v>Warning</v>
          </cell>
          <cell r="AF906" t="str">
            <v>Mismatch</v>
          </cell>
          <cell r="AG906" t="str">
            <v>Match</v>
          </cell>
        </row>
        <row r="907">
          <cell r="B907">
            <v>45907</v>
          </cell>
          <cell r="D907">
            <v>8</v>
          </cell>
          <cell r="Y907">
            <v>0</v>
          </cell>
          <cell r="AE907" t="str">
            <v>Warning</v>
          </cell>
          <cell r="AF907" t="str">
            <v>Mismatch</v>
          </cell>
          <cell r="AG907" t="str">
            <v>Match</v>
          </cell>
        </row>
        <row r="908">
          <cell r="B908">
            <v>45342</v>
          </cell>
          <cell r="D908">
            <v>7</v>
          </cell>
          <cell r="Y908">
            <v>0.2</v>
          </cell>
          <cell r="AE908" t="str">
            <v>Warning</v>
          </cell>
          <cell r="AF908" t="str">
            <v>Mismatch</v>
          </cell>
          <cell r="AG908" t="str">
            <v>Match</v>
          </cell>
        </row>
        <row r="909">
          <cell r="B909">
            <v>45698</v>
          </cell>
          <cell r="D909">
            <v>4</v>
          </cell>
          <cell r="Y909">
            <v>0</v>
          </cell>
          <cell r="AE909" t="str">
            <v>Warning</v>
          </cell>
          <cell r="AF909" t="str">
            <v>Mismatch</v>
          </cell>
          <cell r="AG909" t="str">
            <v>Match</v>
          </cell>
        </row>
        <row r="910">
          <cell r="B910">
            <v>45381</v>
          </cell>
          <cell r="D910">
            <v>-4</v>
          </cell>
          <cell r="Y910">
            <v>0.15</v>
          </cell>
          <cell r="AE910" t="str">
            <v>Invalid</v>
          </cell>
          <cell r="AF910" t="str">
            <v>Mismatch</v>
          </cell>
          <cell r="AG910" t="str">
            <v>Match</v>
          </cell>
        </row>
        <row r="911">
          <cell r="B911">
            <v>45522</v>
          </cell>
          <cell r="D911">
            <v>6</v>
          </cell>
          <cell r="Y911">
            <v>0.1</v>
          </cell>
          <cell r="AE911" t="str">
            <v>Warning</v>
          </cell>
          <cell r="AF911" t="str">
            <v>Mismatch</v>
          </cell>
          <cell r="AG911" t="str">
            <v>Mismatch</v>
          </cell>
        </row>
        <row r="912">
          <cell r="B912">
            <v>45436</v>
          </cell>
          <cell r="D912">
            <v>1</v>
          </cell>
          <cell r="Y912">
            <v>0</v>
          </cell>
          <cell r="AE912" t="str">
            <v>Warning</v>
          </cell>
          <cell r="AF912" t="str">
            <v>Mismatch</v>
          </cell>
          <cell r="AG912" t="str">
            <v>Match</v>
          </cell>
        </row>
        <row r="913">
          <cell r="B913">
            <v>45824</v>
          </cell>
          <cell r="D913">
            <v>2</v>
          </cell>
          <cell r="Y913">
            <v>0.1</v>
          </cell>
          <cell r="AE913" t="str">
            <v>Warning</v>
          </cell>
          <cell r="AF913" t="str">
            <v>Mismatch</v>
          </cell>
          <cell r="AG913" t="str">
            <v>Match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workbookViewId="0">
      <selection activeCell="B24" sqref="B24"/>
    </sheetView>
  </sheetViews>
  <sheetFormatPr defaultRowHeight="14.4" x14ac:dyDescent="0.3"/>
  <cols>
    <col min="1" max="1" width="44.5546875" customWidth="1"/>
    <col min="2" max="2" width="26.44140625" customWidth="1"/>
  </cols>
  <sheetData>
    <row r="1" spans="1:2" x14ac:dyDescent="0.3">
      <c r="A1" s="2" t="s">
        <v>0</v>
      </c>
      <c r="B1" s="2" t="s">
        <v>1</v>
      </c>
    </row>
    <row r="2" spans="1:2" x14ac:dyDescent="0.3">
      <c r="A2" s="3" t="s">
        <v>2</v>
      </c>
      <c r="B2" s="3">
        <v>19</v>
      </c>
    </row>
    <row r="3" spans="1:2" x14ac:dyDescent="0.3">
      <c r="A3" s="3" t="s">
        <v>3</v>
      </c>
      <c r="B3" s="3">
        <v>31</v>
      </c>
    </row>
    <row r="4" spans="1:2" x14ac:dyDescent="0.3">
      <c r="A4" s="3" t="s">
        <v>4</v>
      </c>
      <c r="B4" s="3">
        <v>20</v>
      </c>
    </row>
    <row r="5" spans="1:2" x14ac:dyDescent="0.3">
      <c r="A5" s="3" t="s">
        <v>5</v>
      </c>
      <c r="B5" s="3">
        <v>25</v>
      </c>
    </row>
    <row r="9" spans="1:2" x14ac:dyDescent="0.3">
      <c r="A9" s="1" t="s">
        <v>6</v>
      </c>
    </row>
    <row r="10" spans="1:2" x14ac:dyDescent="0.3">
      <c r="A10" s="4" t="s">
        <v>7</v>
      </c>
      <c r="B10" s="4" t="s">
        <v>8</v>
      </c>
    </row>
    <row r="11" spans="1:2" ht="30.6" customHeight="1" x14ac:dyDescent="0.3">
      <c r="A11" s="5" t="s">
        <v>9</v>
      </c>
      <c r="B11" s="5" t="s">
        <v>10</v>
      </c>
    </row>
    <row r="12" spans="1:2" ht="17.399999999999999" customHeight="1" x14ac:dyDescent="0.3">
      <c r="A12" s="5" t="s">
        <v>11</v>
      </c>
      <c r="B12" s="5" t="s">
        <v>12</v>
      </c>
    </row>
    <row r="13" spans="1:2" ht="22.8" customHeight="1" x14ac:dyDescent="0.3">
      <c r="A13" s="5" t="s">
        <v>13</v>
      </c>
      <c r="B13" s="5" t="s">
        <v>14</v>
      </c>
    </row>
    <row r="14" spans="1:2" x14ac:dyDescent="0.3">
      <c r="A14" s="5" t="s">
        <v>15</v>
      </c>
      <c r="B14" s="5" t="s">
        <v>16</v>
      </c>
    </row>
    <row r="15" spans="1:2" x14ac:dyDescent="0.3">
      <c r="A15" s="5" t="s">
        <v>17</v>
      </c>
      <c r="B15" s="5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71390-B042-4073-8BBC-284F4B000F26}">
  <dimension ref="A1:B10"/>
  <sheetViews>
    <sheetView workbookViewId="0">
      <selection activeCell="E8" sqref="E8"/>
    </sheetView>
  </sheetViews>
  <sheetFormatPr defaultRowHeight="14.4" x14ac:dyDescent="0.3"/>
  <cols>
    <col min="1" max="1" width="27.77734375" customWidth="1"/>
    <col min="2" max="2" width="22" customWidth="1"/>
  </cols>
  <sheetData>
    <row r="1" spans="1:2" x14ac:dyDescent="0.3">
      <c r="A1" s="14" t="s">
        <v>34</v>
      </c>
      <c r="B1" s="14"/>
    </row>
    <row r="2" spans="1:2" x14ac:dyDescent="0.3">
      <c r="A2" s="4" t="s">
        <v>7</v>
      </c>
      <c r="B2" s="6" t="s">
        <v>1</v>
      </c>
    </row>
    <row r="3" spans="1:2" ht="22.8" customHeight="1" x14ac:dyDescent="0.3">
      <c r="A3" s="5" t="s">
        <v>19</v>
      </c>
      <c r="B3" s="7">
        <v>25</v>
      </c>
    </row>
    <row r="4" spans="1:2" ht="24" customHeight="1" x14ac:dyDescent="0.3">
      <c r="A4" s="5" t="s">
        <v>20</v>
      </c>
      <c r="B4" s="7">
        <v>21</v>
      </c>
    </row>
    <row r="5" spans="1:2" ht="24.6" customHeight="1" x14ac:dyDescent="0.3">
      <c r="A5" s="5" t="s">
        <v>21</v>
      </c>
      <c r="B5" s="7">
        <v>18</v>
      </c>
    </row>
    <row r="6" spans="1:2" ht="21.6" customHeight="1" x14ac:dyDescent="0.3">
      <c r="A6" s="5" t="s">
        <v>22</v>
      </c>
      <c r="B6" s="7">
        <v>21</v>
      </c>
    </row>
    <row r="7" spans="1:2" ht="28.8" x14ac:dyDescent="0.3">
      <c r="A7" s="5" t="s">
        <v>23</v>
      </c>
      <c r="B7" s="7">
        <v>145</v>
      </c>
    </row>
    <row r="8" spans="1:2" ht="28.8" x14ac:dyDescent="0.3">
      <c r="A8" s="5" t="s">
        <v>24</v>
      </c>
      <c r="B8" s="7">
        <v>69</v>
      </c>
    </row>
    <row r="9" spans="1:2" ht="28.8" x14ac:dyDescent="0.3">
      <c r="A9" s="5" t="s">
        <v>25</v>
      </c>
      <c r="B9" s="7">
        <v>71</v>
      </c>
    </row>
    <row r="10" spans="1:2" x14ac:dyDescent="0.3">
      <c r="A10" s="5" t="s">
        <v>26</v>
      </c>
      <c r="B10" s="7">
        <v>21</v>
      </c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FE3C7-7317-4461-8E78-C384E507480F}">
  <dimension ref="A1:C4"/>
  <sheetViews>
    <sheetView workbookViewId="0">
      <selection activeCell="F4" sqref="F4"/>
    </sheetView>
  </sheetViews>
  <sheetFormatPr defaultRowHeight="14.4" x14ac:dyDescent="0.3"/>
  <cols>
    <col min="1" max="1" width="20.44140625" customWidth="1"/>
    <col min="2" max="2" width="35.33203125" customWidth="1"/>
  </cols>
  <sheetData>
    <row r="1" spans="1:3" x14ac:dyDescent="0.3">
      <c r="A1" s="14" t="s">
        <v>33</v>
      </c>
      <c r="B1" s="14"/>
    </row>
    <row r="2" spans="1:3" x14ac:dyDescent="0.3">
      <c r="A2" s="4" t="s">
        <v>27</v>
      </c>
      <c r="B2" s="4" t="s">
        <v>32</v>
      </c>
      <c r="C2" s="12" t="s">
        <v>1</v>
      </c>
    </row>
    <row r="3" spans="1:3" ht="57.6" x14ac:dyDescent="0.3">
      <c r="A3" s="5" t="s">
        <v>28</v>
      </c>
      <c r="B3" s="7" t="s">
        <v>29</v>
      </c>
      <c r="C3" s="3">
        <f>COUNTIF([1]raw_orders!$Y:$Y,"&lt;0")</f>
        <v>15</v>
      </c>
    </row>
    <row r="4" spans="1:3" ht="57.6" x14ac:dyDescent="0.3">
      <c r="A4" s="5" t="s">
        <v>30</v>
      </c>
      <c r="B4" s="7" t="s">
        <v>31</v>
      </c>
      <c r="C4" s="3">
        <f>COUNTIF([1]raw_orders!$Y:$Y,"&gt;1")</f>
        <v>0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11D12-31D6-4928-92C2-256FE543C29B}">
  <dimension ref="A1:B6"/>
  <sheetViews>
    <sheetView workbookViewId="0">
      <selection activeCell="D5" sqref="D5"/>
    </sheetView>
  </sheetViews>
  <sheetFormatPr defaultRowHeight="14.4" x14ac:dyDescent="0.3"/>
  <cols>
    <col min="1" max="1" width="21.5546875" customWidth="1"/>
    <col min="2" max="2" width="21.109375" customWidth="1"/>
  </cols>
  <sheetData>
    <row r="1" spans="1:2" x14ac:dyDescent="0.3">
      <c r="A1" s="13" t="s">
        <v>38</v>
      </c>
      <c r="B1" s="13"/>
    </row>
    <row r="3" spans="1:2" x14ac:dyDescent="0.3">
      <c r="A3" s="4" t="s">
        <v>27</v>
      </c>
      <c r="B3" s="6" t="s">
        <v>1</v>
      </c>
    </row>
    <row r="4" spans="1:2" x14ac:dyDescent="0.3">
      <c r="A4" s="5" t="s">
        <v>35</v>
      </c>
      <c r="B4" s="7">
        <f>COUNTBLANK([1]raw_orders!$B2:$B913)</f>
        <v>0</v>
      </c>
    </row>
    <row r="5" spans="1:2" ht="28.8" x14ac:dyDescent="0.3">
      <c r="A5" s="5" t="s">
        <v>36</v>
      </c>
      <c r="B5" s="7">
        <v>0</v>
      </c>
    </row>
    <row r="6" spans="1:2" ht="57.6" x14ac:dyDescent="0.3">
      <c r="A6" s="5" t="s">
        <v>37</v>
      </c>
      <c r="B6" s="7">
        <f>COUNTIF([1]raw_orders!$D2:$D913,"&lt;0")</f>
        <v>21</v>
      </c>
    </row>
  </sheetData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7C0BD-1E61-41C9-A58A-C6A523DA88FB}">
  <dimension ref="A1:B5"/>
  <sheetViews>
    <sheetView workbookViewId="0">
      <selection activeCell="B3" sqref="B3"/>
    </sheetView>
  </sheetViews>
  <sheetFormatPr defaultRowHeight="14.4" x14ac:dyDescent="0.3"/>
  <cols>
    <col min="1" max="1" width="20.109375" customWidth="1"/>
    <col min="2" max="2" width="15.109375" customWidth="1"/>
  </cols>
  <sheetData>
    <row r="1" spans="1:2" x14ac:dyDescent="0.3">
      <c r="A1" s="13" t="s">
        <v>40</v>
      </c>
      <c r="B1" s="13"/>
    </row>
    <row r="2" spans="1:2" x14ac:dyDescent="0.3">
      <c r="A2" s="8" t="s">
        <v>27</v>
      </c>
      <c r="B2" s="10" t="s">
        <v>1</v>
      </c>
    </row>
    <row r="3" spans="1:2" ht="28.8" x14ac:dyDescent="0.3">
      <c r="A3" s="11" t="s">
        <v>23</v>
      </c>
      <c r="B3" s="9">
        <v>145</v>
      </c>
    </row>
    <row r="4" spans="1:2" ht="28.8" x14ac:dyDescent="0.3">
      <c r="A4" s="11" t="s">
        <v>24</v>
      </c>
      <c r="B4" s="9">
        <v>69</v>
      </c>
    </row>
    <row r="5" spans="1:2" ht="28.8" x14ac:dyDescent="0.3">
      <c r="A5" s="11" t="s">
        <v>39</v>
      </c>
      <c r="B5" s="9">
        <v>71</v>
      </c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F3504-EB1A-459F-9590-3F7EC56A7FC4}">
  <dimension ref="L1:O4"/>
  <sheetViews>
    <sheetView topLeftCell="L1" workbookViewId="0">
      <selection activeCell="L1" sqref="L1:M1"/>
    </sheetView>
  </sheetViews>
  <sheetFormatPr defaultRowHeight="14.4" x14ac:dyDescent="0.3"/>
  <cols>
    <col min="12" max="13" width="23" customWidth="1"/>
  </cols>
  <sheetData>
    <row r="1" spans="12:15" x14ac:dyDescent="0.3">
      <c r="L1" s="14" t="s">
        <v>41</v>
      </c>
      <c r="M1" s="14"/>
      <c r="N1" s="15"/>
      <c r="O1" s="15"/>
    </row>
    <row r="2" spans="12:15" x14ac:dyDescent="0.3">
      <c r="L2" s="4" t="s">
        <v>27</v>
      </c>
      <c r="M2" s="6" t="s">
        <v>1</v>
      </c>
    </row>
    <row r="3" spans="12:15" ht="43.2" x14ac:dyDescent="0.3">
      <c r="L3" s="5" t="s">
        <v>42</v>
      </c>
      <c r="M3" s="7">
        <f>COUNTIF([1]raw_orders!$AF2:$AF913,"Mismatch")</f>
        <v>64</v>
      </c>
    </row>
    <row r="4" spans="12:15" ht="43.2" x14ac:dyDescent="0.3">
      <c r="L4" s="5" t="s">
        <v>43</v>
      </c>
      <c r="M4" s="7">
        <f>COUNTIF([1]raw_orders!$AG2:$AG913,"Mismatch")</f>
        <v>64</v>
      </c>
    </row>
  </sheetData>
  <mergeCells count="1">
    <mergeCell ref="L1:M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5D51E-AE63-4E1B-BF21-7579F4921919}">
  <dimension ref="A1:D7"/>
  <sheetViews>
    <sheetView tabSelected="1" workbookViewId="0">
      <selection activeCell="E4" sqref="E4"/>
    </sheetView>
  </sheetViews>
  <sheetFormatPr defaultRowHeight="14.4" x14ac:dyDescent="0.3"/>
  <cols>
    <col min="1" max="1" width="20.109375" customWidth="1"/>
    <col min="2" max="2" width="28.21875" customWidth="1"/>
  </cols>
  <sheetData>
    <row r="1" spans="1:4" x14ac:dyDescent="0.3">
      <c r="A1" s="13" t="s">
        <v>44</v>
      </c>
      <c r="B1" s="13"/>
      <c r="C1" s="15"/>
      <c r="D1" s="15"/>
    </row>
    <row r="3" spans="1:4" x14ac:dyDescent="0.3">
      <c r="A3" s="4" t="s">
        <v>45</v>
      </c>
      <c r="B3" s="6" t="s">
        <v>1</v>
      </c>
    </row>
    <row r="4" spans="1:4" ht="57.6" x14ac:dyDescent="0.3">
      <c r="A4" s="5" t="s">
        <v>46</v>
      </c>
      <c r="B4" s="7">
        <f>COUNTIF([1]raw_orders!$AE2:$AE913,"Clean")</f>
        <v>854</v>
      </c>
    </row>
    <row r="5" spans="1:4" ht="57.6" x14ac:dyDescent="0.3">
      <c r="A5" s="5" t="s">
        <v>47</v>
      </c>
      <c r="B5" s="7">
        <f>COUNTIF([1]raw_orders!$AE2:$AE913,"Warning")</f>
        <v>22</v>
      </c>
    </row>
    <row r="6" spans="1:4" ht="57.6" x14ac:dyDescent="0.3">
      <c r="A6" s="5" t="s">
        <v>48</v>
      </c>
      <c r="B6" s="7">
        <f xml:space="preserve"> COUNTIF([1]raw_orders!$AE2:$AE913,"Invalid")</f>
        <v>36</v>
      </c>
    </row>
    <row r="7" spans="1:4" x14ac:dyDescent="0.3">
      <c r="A7" s="16" t="s">
        <v>49</v>
      </c>
      <c r="B7" s="6">
        <f>SUM(B4,B5,B6)</f>
        <v>912</v>
      </c>
    </row>
  </sheetData>
  <mergeCells count="1">
    <mergeCell ref="A1:B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47dd6a-a4a1-440b-a6a3-9124ef1ee017}" enabled="1" method="Privileged" siteId="{7a18110d-ef9b-4274-acef-e62ab0fe28e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Duplicate Summary</vt:lpstr>
      <vt:lpstr>Missing value summary</vt:lpstr>
      <vt:lpstr>Invalid discount summary</vt:lpstr>
      <vt:lpstr>Date issue summary</vt:lpstr>
      <vt:lpstr>Order status issue summary</vt:lpstr>
      <vt:lpstr>Sales_profit calculation mismat</vt:lpstr>
      <vt:lpstr>Final clean vs flagged record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suraj kumar das</dc:creator>
  <cp:lastModifiedBy>Das, Ananya (IND)</cp:lastModifiedBy>
  <dcterms:created xsi:type="dcterms:W3CDTF">2015-06-05T18:17:20Z</dcterms:created>
  <dcterms:modified xsi:type="dcterms:W3CDTF">2026-06-19T17:21:12Z</dcterms:modified>
</cp:coreProperties>
</file>