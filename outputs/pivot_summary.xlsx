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40002686\Documents\ananyadas_bitsom_ba_2511216_part1_data_cleaning\outputs\"/>
    </mc:Choice>
  </mc:AlternateContent>
  <xr:revisionPtr revIDLastSave="0" documentId="13_ncr:1_{A1F0FCF2-9EA7-4C61-98FD-20E7575D7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Profit_by_Category_SubCat" sheetId="4" r:id="rId1"/>
    <sheet name="Sales_Profit_By_Region" sheetId="3" r:id="rId2"/>
    <sheet name="Order Count by Ship Mode" sheetId="6" r:id="rId3"/>
    <sheet name="Profit margin by customer segme" sheetId="7" r:id="rId4"/>
    <sheet name="Refunded cancelled failed order" sheetId="8" r:id="rId5"/>
    <sheet name="Monthly sales trend" sheetId="9" r:id="rId6"/>
    <sheet name="raw_orders" sheetId="1" r:id="rId7"/>
  </sheets>
  <definedNames>
    <definedName name="_xlnm._FilterDatabase" localSheetId="6" hidden="1">raw_orders!$U$1:$U$914</definedName>
  </definedNames>
  <calcPr calcId="191029"/>
  <pivotCaches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76" i="1" l="1"/>
  <c r="AF498" i="1"/>
  <c r="AF513" i="1"/>
  <c r="AF542" i="1"/>
  <c r="AF549" i="1"/>
  <c r="AF563" i="1"/>
  <c r="AF564" i="1"/>
  <c r="AF571" i="1"/>
  <c r="AF579" i="1"/>
  <c r="AF580" i="1"/>
  <c r="AF585" i="1"/>
  <c r="AF586" i="1"/>
  <c r="AF630" i="1"/>
  <c r="AF651" i="1"/>
  <c r="AF659" i="1"/>
  <c r="AF673" i="1"/>
  <c r="AF674" i="1"/>
  <c r="AF695" i="1"/>
  <c r="AF696" i="1"/>
  <c r="AF718" i="1"/>
  <c r="AF740" i="1"/>
  <c r="AF747" i="1"/>
  <c r="AF761" i="1"/>
  <c r="AF762" i="1"/>
  <c r="AF783" i="1"/>
  <c r="AF784" i="1"/>
  <c r="AF805" i="1"/>
  <c r="AF806" i="1"/>
  <c r="AF821" i="1"/>
  <c r="AF822" i="1"/>
  <c r="AF828" i="1"/>
  <c r="AF843" i="1"/>
  <c r="AF871" i="1"/>
  <c r="AF872" i="1"/>
  <c r="AD91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Z475" i="1"/>
  <c r="AF475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Z230" i="1" s="1"/>
  <c r="AF230" i="1" s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Z460" i="1" s="1"/>
  <c r="AF460" i="1" s="1"/>
  <c r="Y461" i="1"/>
  <c r="Y462" i="1"/>
  <c r="Z462" i="1" s="1"/>
  <c r="AF462" i="1" s="1"/>
  <c r="Y463" i="1"/>
  <c r="Z463" i="1" s="1"/>
  <c r="AF463" i="1" s="1"/>
  <c r="Y464" i="1"/>
  <c r="Z464" i="1" s="1"/>
  <c r="AF464" i="1" s="1"/>
  <c r="Y465" i="1"/>
  <c r="Z465" i="1" s="1"/>
  <c r="AF465" i="1" s="1"/>
  <c r="Y466" i="1"/>
  <c r="Y467" i="1"/>
  <c r="Y468" i="1"/>
  <c r="Y469" i="1"/>
  <c r="Z469" i="1" s="1"/>
  <c r="AF469" i="1" s="1"/>
  <c r="Y470" i="1"/>
  <c r="Z470" i="1" s="1"/>
  <c r="AF470" i="1" s="1"/>
  <c r="Y471" i="1"/>
  <c r="Z471" i="1" s="1"/>
  <c r="AF471" i="1" s="1"/>
  <c r="Y472" i="1"/>
  <c r="Y473" i="1"/>
  <c r="Z473" i="1" s="1"/>
  <c r="AF473" i="1" s="1"/>
  <c r="Y474" i="1"/>
  <c r="Z474" i="1" s="1"/>
  <c r="AF474" i="1" s="1"/>
  <c r="Y475" i="1"/>
  <c r="Y476" i="1"/>
  <c r="Z476" i="1" s="1"/>
  <c r="Y477" i="1"/>
  <c r="Z477" i="1" s="1"/>
  <c r="AF477" i="1" s="1"/>
  <c r="Y478" i="1"/>
  <c r="Z478" i="1" s="1"/>
  <c r="AF478" i="1" s="1"/>
  <c r="Y479" i="1"/>
  <c r="Z479" i="1" s="1"/>
  <c r="AF479" i="1" s="1"/>
  <c r="Y480" i="1"/>
  <c r="Z480" i="1" s="1"/>
  <c r="AF480" i="1" s="1"/>
  <c r="Y481" i="1"/>
  <c r="Z481" i="1" s="1"/>
  <c r="AF481" i="1" s="1"/>
  <c r="Y482" i="1"/>
  <c r="Z482" i="1" s="1"/>
  <c r="AF482" i="1" s="1"/>
  <c r="Y483" i="1"/>
  <c r="Y484" i="1"/>
  <c r="Y485" i="1"/>
  <c r="Z485" i="1" s="1"/>
  <c r="AF485" i="1" s="1"/>
  <c r="Y486" i="1"/>
  <c r="Z486" i="1" s="1"/>
  <c r="AF486" i="1" s="1"/>
  <c r="Y487" i="1"/>
  <c r="Z487" i="1" s="1"/>
  <c r="AF487" i="1" s="1"/>
  <c r="Y488" i="1"/>
  <c r="Y489" i="1"/>
  <c r="Z489" i="1" s="1"/>
  <c r="AF489" i="1" s="1"/>
  <c r="Y490" i="1"/>
  <c r="Y491" i="1"/>
  <c r="Z491" i="1" s="1"/>
  <c r="AF491" i="1" s="1"/>
  <c r="Y492" i="1"/>
  <c r="Y493" i="1"/>
  <c r="Y494" i="1"/>
  <c r="Y495" i="1"/>
  <c r="Z495" i="1" s="1"/>
  <c r="AF495" i="1" s="1"/>
  <c r="Y496" i="1"/>
  <c r="Z496" i="1" s="1"/>
  <c r="AF496" i="1" s="1"/>
  <c r="Y497" i="1"/>
  <c r="Z497" i="1" s="1"/>
  <c r="AF497" i="1" s="1"/>
  <c r="Y498" i="1"/>
  <c r="Z498" i="1" s="1"/>
  <c r="Y499" i="1"/>
  <c r="Z499" i="1" s="1"/>
  <c r="AF499" i="1" s="1"/>
  <c r="Y500" i="1"/>
  <c r="Y501" i="1"/>
  <c r="Y502" i="1"/>
  <c r="Y503" i="1"/>
  <c r="Y504" i="1"/>
  <c r="Z504" i="1" s="1"/>
  <c r="AF504" i="1" s="1"/>
  <c r="Y505" i="1"/>
  <c r="Y506" i="1"/>
  <c r="Y507" i="1"/>
  <c r="Z507" i="1" s="1"/>
  <c r="AF507" i="1" s="1"/>
  <c r="Y508" i="1"/>
  <c r="Z508" i="1" s="1"/>
  <c r="AF508" i="1" s="1"/>
  <c r="Y509" i="1"/>
  <c r="Z509" i="1" s="1"/>
  <c r="AF509" i="1" s="1"/>
  <c r="Y510" i="1"/>
  <c r="Y511" i="1"/>
  <c r="Y512" i="1"/>
  <c r="Y513" i="1"/>
  <c r="Z513" i="1" s="1"/>
  <c r="Y514" i="1"/>
  <c r="Y515" i="1"/>
  <c r="Y516" i="1"/>
  <c r="Y517" i="1"/>
  <c r="Z517" i="1" s="1"/>
  <c r="AF517" i="1" s="1"/>
  <c r="Y518" i="1"/>
  <c r="Z518" i="1" s="1"/>
  <c r="AF518" i="1" s="1"/>
  <c r="Y519" i="1"/>
  <c r="Z519" i="1" s="1"/>
  <c r="AF519" i="1" s="1"/>
  <c r="Y520" i="1"/>
  <c r="Z520" i="1" s="1"/>
  <c r="AF520" i="1" s="1"/>
  <c r="Y521" i="1"/>
  <c r="Z521" i="1" s="1"/>
  <c r="AF521" i="1" s="1"/>
  <c r="Y522" i="1"/>
  <c r="Z522" i="1" s="1"/>
  <c r="AF522" i="1" s="1"/>
  <c r="Y523" i="1"/>
  <c r="Z523" i="1" s="1"/>
  <c r="AF523" i="1" s="1"/>
  <c r="Y524" i="1"/>
  <c r="Z524" i="1" s="1"/>
  <c r="AF524" i="1" s="1"/>
  <c r="Y525" i="1"/>
  <c r="Z525" i="1" s="1"/>
  <c r="AF525" i="1" s="1"/>
  <c r="Y526" i="1"/>
  <c r="Z526" i="1" s="1"/>
  <c r="AF526" i="1" s="1"/>
  <c r="Y527" i="1"/>
  <c r="Z527" i="1" s="1"/>
  <c r="AF527" i="1" s="1"/>
  <c r="Y528" i="1"/>
  <c r="Z528" i="1" s="1"/>
  <c r="AF528" i="1" s="1"/>
  <c r="Y529" i="1"/>
  <c r="Z529" i="1" s="1"/>
  <c r="AF529" i="1" s="1"/>
  <c r="Y530" i="1"/>
  <c r="Z530" i="1" s="1"/>
  <c r="AF530" i="1" s="1"/>
  <c r="Y531" i="1"/>
  <c r="Z531" i="1" s="1"/>
  <c r="AF531" i="1" s="1"/>
  <c r="Y532" i="1"/>
  <c r="Y533" i="1"/>
  <c r="Y534" i="1"/>
  <c r="Y535" i="1"/>
  <c r="Y536" i="1"/>
  <c r="Y537" i="1"/>
  <c r="Z537" i="1" s="1"/>
  <c r="AF537" i="1" s="1"/>
  <c r="Y538" i="1"/>
  <c r="Z538" i="1" s="1"/>
  <c r="AF538" i="1" s="1"/>
  <c r="Y539" i="1"/>
  <c r="Z539" i="1" s="1"/>
  <c r="AF539" i="1" s="1"/>
  <c r="Y540" i="1"/>
  <c r="Z540" i="1" s="1"/>
  <c r="AF540" i="1" s="1"/>
  <c r="Y541" i="1"/>
  <c r="Z541" i="1" s="1"/>
  <c r="AF541" i="1" s="1"/>
  <c r="Y542" i="1"/>
  <c r="Z542" i="1" s="1"/>
  <c r="Y543" i="1"/>
  <c r="Z543" i="1" s="1"/>
  <c r="AF543" i="1" s="1"/>
  <c r="Y544" i="1"/>
  <c r="Y545" i="1"/>
  <c r="Y546" i="1"/>
  <c r="Y547" i="1"/>
  <c r="Z547" i="1" s="1"/>
  <c r="AF547" i="1" s="1"/>
  <c r="Y548" i="1"/>
  <c r="Z548" i="1" s="1"/>
  <c r="AF548" i="1" s="1"/>
  <c r="Y549" i="1"/>
  <c r="Z549" i="1" s="1"/>
  <c r="Y550" i="1"/>
  <c r="Z550" i="1" s="1"/>
  <c r="AF550" i="1" s="1"/>
  <c r="Y551" i="1"/>
  <c r="Z551" i="1" s="1"/>
  <c r="AF551" i="1" s="1"/>
  <c r="Y552" i="1"/>
  <c r="Z552" i="1" s="1"/>
  <c r="AF552" i="1" s="1"/>
  <c r="Y553" i="1"/>
  <c r="Z553" i="1" s="1"/>
  <c r="AF553" i="1" s="1"/>
  <c r="Y554" i="1"/>
  <c r="Y555" i="1"/>
  <c r="Y556" i="1"/>
  <c r="Y557" i="1"/>
  <c r="Y558" i="1"/>
  <c r="Y559" i="1"/>
  <c r="Y560" i="1"/>
  <c r="Y561" i="1"/>
  <c r="Z561" i="1" s="1"/>
  <c r="AF561" i="1" s="1"/>
  <c r="Y562" i="1"/>
  <c r="Z562" i="1" s="1"/>
  <c r="AF562" i="1" s="1"/>
  <c r="Y563" i="1"/>
  <c r="Z563" i="1" s="1"/>
  <c r="Y564" i="1"/>
  <c r="Z564" i="1" s="1"/>
  <c r="Y565" i="1"/>
  <c r="Z565" i="1" s="1"/>
  <c r="AF565" i="1" s="1"/>
  <c r="Y566" i="1"/>
  <c r="Z566" i="1" s="1"/>
  <c r="AF566" i="1" s="1"/>
  <c r="Y567" i="1"/>
  <c r="Z567" i="1" s="1"/>
  <c r="AF567" i="1" s="1"/>
  <c r="Y568" i="1"/>
  <c r="Z568" i="1" s="1"/>
  <c r="AF568" i="1" s="1"/>
  <c r="Y569" i="1"/>
  <c r="Z569" i="1" s="1"/>
  <c r="AF569" i="1" s="1"/>
  <c r="Y570" i="1"/>
  <c r="Z570" i="1" s="1"/>
  <c r="AF570" i="1" s="1"/>
  <c r="Y571" i="1"/>
  <c r="Z571" i="1" s="1"/>
  <c r="Y572" i="1"/>
  <c r="Z572" i="1" s="1"/>
  <c r="AF572" i="1" s="1"/>
  <c r="Y573" i="1"/>
  <c r="Z573" i="1" s="1"/>
  <c r="AF573" i="1" s="1"/>
  <c r="Y574" i="1"/>
  <c r="Z574" i="1" s="1"/>
  <c r="AF574" i="1" s="1"/>
  <c r="Y575" i="1"/>
  <c r="Z575" i="1" s="1"/>
  <c r="AF575" i="1" s="1"/>
  <c r="Y576" i="1"/>
  <c r="Y577" i="1"/>
  <c r="Z577" i="1" s="1"/>
  <c r="AF577" i="1" s="1"/>
  <c r="Y578" i="1"/>
  <c r="Y579" i="1"/>
  <c r="Z579" i="1" s="1"/>
  <c r="Y580" i="1"/>
  <c r="Z580" i="1" s="1"/>
  <c r="Y581" i="1"/>
  <c r="Z581" i="1" s="1"/>
  <c r="AF581" i="1" s="1"/>
  <c r="Y582" i="1"/>
  <c r="Z582" i="1" s="1"/>
  <c r="AF582" i="1" s="1"/>
  <c r="Y583" i="1"/>
  <c r="Z583" i="1" s="1"/>
  <c r="AF583" i="1" s="1"/>
  <c r="Y584" i="1"/>
  <c r="Z584" i="1" s="1"/>
  <c r="AF584" i="1" s="1"/>
  <c r="Y585" i="1"/>
  <c r="Z585" i="1" s="1"/>
  <c r="Y586" i="1"/>
  <c r="Z586" i="1" s="1"/>
  <c r="Y587" i="1"/>
  <c r="Z587" i="1" s="1"/>
  <c r="AF587" i="1" s="1"/>
  <c r="Y588" i="1"/>
  <c r="Z588" i="1" s="1"/>
  <c r="AF588" i="1" s="1"/>
  <c r="Y589" i="1"/>
  <c r="Z589" i="1" s="1"/>
  <c r="AF589" i="1" s="1"/>
  <c r="Y590" i="1"/>
  <c r="Y591" i="1"/>
  <c r="Z591" i="1" s="1"/>
  <c r="AF591" i="1" s="1"/>
  <c r="Y592" i="1"/>
  <c r="Z592" i="1" s="1"/>
  <c r="AF592" i="1" s="1"/>
  <c r="Y593" i="1"/>
  <c r="Z593" i="1" s="1"/>
  <c r="AF593" i="1" s="1"/>
  <c r="Y594" i="1"/>
  <c r="Z594" i="1" s="1"/>
  <c r="AF594" i="1" s="1"/>
  <c r="Y595" i="1"/>
  <c r="Z595" i="1" s="1"/>
  <c r="AF595" i="1" s="1"/>
  <c r="Y596" i="1"/>
  <c r="Z596" i="1" s="1"/>
  <c r="AF596" i="1" s="1"/>
  <c r="Y597" i="1"/>
  <c r="Z597" i="1" s="1"/>
  <c r="AF597" i="1" s="1"/>
  <c r="Y598" i="1"/>
  <c r="Y599" i="1"/>
  <c r="Y600" i="1"/>
  <c r="Y601" i="1"/>
  <c r="Y602" i="1"/>
  <c r="Y603" i="1"/>
  <c r="Y604" i="1"/>
  <c r="Y605" i="1"/>
  <c r="Z605" i="1" s="1"/>
  <c r="AF605" i="1" s="1"/>
  <c r="Y606" i="1"/>
  <c r="Z606" i="1" s="1"/>
  <c r="AF606" i="1" s="1"/>
  <c r="Y607" i="1"/>
  <c r="Z607" i="1" s="1"/>
  <c r="AF607" i="1" s="1"/>
  <c r="Y608" i="1"/>
  <c r="Z608" i="1" s="1"/>
  <c r="AF608" i="1" s="1"/>
  <c r="Y609" i="1"/>
  <c r="Z609" i="1" s="1"/>
  <c r="AF609" i="1" s="1"/>
  <c r="Y610" i="1"/>
  <c r="Y611" i="1"/>
  <c r="Y612" i="1"/>
  <c r="Y613" i="1"/>
  <c r="Z613" i="1" s="1"/>
  <c r="AF613" i="1" s="1"/>
  <c r="Y614" i="1"/>
  <c r="Z614" i="1" s="1"/>
  <c r="AF614" i="1" s="1"/>
  <c r="Y615" i="1"/>
  <c r="Y616" i="1"/>
  <c r="Y617" i="1"/>
  <c r="Z617" i="1" s="1"/>
  <c r="AF617" i="1" s="1"/>
  <c r="Y618" i="1"/>
  <c r="Z618" i="1" s="1"/>
  <c r="AF618" i="1" s="1"/>
  <c r="Y619" i="1"/>
  <c r="Z619" i="1" s="1"/>
  <c r="AF619" i="1" s="1"/>
  <c r="Y620" i="1"/>
  <c r="Y621" i="1"/>
  <c r="Z621" i="1" s="1"/>
  <c r="AF621" i="1" s="1"/>
  <c r="Y622" i="1"/>
  <c r="Z622" i="1" s="1"/>
  <c r="AF622" i="1" s="1"/>
  <c r="Y623" i="1"/>
  <c r="Z623" i="1" s="1"/>
  <c r="AF623" i="1" s="1"/>
  <c r="Y624" i="1"/>
  <c r="Z624" i="1" s="1"/>
  <c r="AF624" i="1" s="1"/>
  <c r="Y625" i="1"/>
  <c r="Z625" i="1" s="1"/>
  <c r="AF625" i="1" s="1"/>
  <c r="Y626" i="1"/>
  <c r="Z626" i="1" s="1"/>
  <c r="AF626" i="1" s="1"/>
  <c r="Y627" i="1"/>
  <c r="Z627" i="1" s="1"/>
  <c r="AF627" i="1" s="1"/>
  <c r="Y628" i="1"/>
  <c r="Z628" i="1" s="1"/>
  <c r="AF628" i="1" s="1"/>
  <c r="Y629" i="1"/>
  <c r="Z629" i="1" s="1"/>
  <c r="AF629" i="1" s="1"/>
  <c r="Y630" i="1"/>
  <c r="Z630" i="1" s="1"/>
  <c r="Y631" i="1"/>
  <c r="Z631" i="1" s="1"/>
  <c r="AF631" i="1" s="1"/>
  <c r="Y632" i="1"/>
  <c r="Z632" i="1" s="1"/>
  <c r="AF632" i="1" s="1"/>
  <c r="Y633" i="1"/>
  <c r="Z633" i="1" s="1"/>
  <c r="AF633" i="1" s="1"/>
  <c r="Y634" i="1"/>
  <c r="Y635" i="1"/>
  <c r="Z635" i="1" s="1"/>
  <c r="AF635" i="1" s="1"/>
  <c r="Y636" i="1"/>
  <c r="Z636" i="1" s="1"/>
  <c r="AF636" i="1" s="1"/>
  <c r="Y637" i="1"/>
  <c r="Z637" i="1" s="1"/>
  <c r="AF637" i="1" s="1"/>
  <c r="Y638" i="1"/>
  <c r="Z638" i="1" s="1"/>
  <c r="AF638" i="1" s="1"/>
  <c r="Y639" i="1"/>
  <c r="Z639" i="1" s="1"/>
  <c r="AF639" i="1" s="1"/>
  <c r="Y640" i="1"/>
  <c r="Z640" i="1" s="1"/>
  <c r="AF640" i="1" s="1"/>
  <c r="Y641" i="1"/>
  <c r="Z641" i="1" s="1"/>
  <c r="AF641" i="1" s="1"/>
  <c r="Y642" i="1"/>
  <c r="Y643" i="1"/>
  <c r="Y644" i="1"/>
  <c r="Y645" i="1"/>
  <c r="Y646" i="1"/>
  <c r="Y647" i="1"/>
  <c r="Z647" i="1" s="1"/>
  <c r="AF647" i="1" s="1"/>
  <c r="Y648" i="1"/>
  <c r="Z648" i="1" s="1"/>
  <c r="AF648" i="1" s="1"/>
  <c r="Y649" i="1"/>
  <c r="Z649" i="1" s="1"/>
  <c r="AF649" i="1" s="1"/>
  <c r="Y650" i="1"/>
  <c r="Z650" i="1" s="1"/>
  <c r="AF650" i="1" s="1"/>
  <c r="Y651" i="1"/>
  <c r="Z651" i="1" s="1"/>
  <c r="Y652" i="1"/>
  <c r="Z652" i="1" s="1"/>
  <c r="AF652" i="1" s="1"/>
  <c r="Y653" i="1"/>
  <c r="Z653" i="1" s="1"/>
  <c r="AF653" i="1" s="1"/>
  <c r="Y654" i="1"/>
  <c r="Y655" i="1"/>
  <c r="Y656" i="1"/>
  <c r="Z656" i="1" s="1"/>
  <c r="AF656" i="1" s="1"/>
  <c r="Y657" i="1"/>
  <c r="Z657" i="1" s="1"/>
  <c r="AF657" i="1" s="1"/>
  <c r="Y658" i="1"/>
  <c r="Z658" i="1" s="1"/>
  <c r="AF658" i="1" s="1"/>
  <c r="Y659" i="1"/>
  <c r="Z659" i="1" s="1"/>
  <c r="Y660" i="1"/>
  <c r="Y661" i="1"/>
  <c r="Z661" i="1" s="1"/>
  <c r="AF661" i="1" s="1"/>
  <c r="Y662" i="1"/>
  <c r="Z662" i="1" s="1"/>
  <c r="AF662" i="1" s="1"/>
  <c r="Y663" i="1"/>
  <c r="Z663" i="1" s="1"/>
  <c r="AF663" i="1" s="1"/>
  <c r="Y664" i="1"/>
  <c r="Y665" i="1"/>
  <c r="Z665" i="1" s="1"/>
  <c r="AF665" i="1" s="1"/>
  <c r="Y666" i="1"/>
  <c r="Z666" i="1" s="1"/>
  <c r="AF666" i="1" s="1"/>
  <c r="Y667" i="1"/>
  <c r="Z667" i="1" s="1"/>
  <c r="AF667" i="1" s="1"/>
  <c r="Y668" i="1"/>
  <c r="Z668" i="1" s="1"/>
  <c r="AF668" i="1" s="1"/>
  <c r="Y669" i="1"/>
  <c r="Z669" i="1" s="1"/>
  <c r="AF669" i="1" s="1"/>
  <c r="Y670" i="1"/>
  <c r="Z670" i="1" s="1"/>
  <c r="AF670" i="1" s="1"/>
  <c r="Y671" i="1"/>
  <c r="Z671" i="1" s="1"/>
  <c r="AF671" i="1" s="1"/>
  <c r="Y672" i="1"/>
  <c r="Z672" i="1" s="1"/>
  <c r="AF672" i="1" s="1"/>
  <c r="Y673" i="1"/>
  <c r="Z673" i="1" s="1"/>
  <c r="Y674" i="1"/>
  <c r="Z674" i="1" s="1"/>
  <c r="Y675" i="1"/>
  <c r="Z675" i="1" s="1"/>
  <c r="AF675" i="1" s="1"/>
  <c r="Y676" i="1"/>
  <c r="Z676" i="1" s="1"/>
  <c r="AF676" i="1" s="1"/>
  <c r="Y677" i="1"/>
  <c r="Z677" i="1" s="1"/>
  <c r="AF677" i="1" s="1"/>
  <c r="Y678" i="1"/>
  <c r="Y679" i="1"/>
  <c r="Z679" i="1" s="1"/>
  <c r="AF679" i="1" s="1"/>
  <c r="Y680" i="1"/>
  <c r="Z680" i="1" s="1"/>
  <c r="AF680" i="1" s="1"/>
  <c r="Y681" i="1"/>
  <c r="Z681" i="1" s="1"/>
  <c r="AF681" i="1" s="1"/>
  <c r="Y682" i="1"/>
  <c r="Z682" i="1" s="1"/>
  <c r="AF682" i="1" s="1"/>
  <c r="Y683" i="1"/>
  <c r="Z683" i="1" s="1"/>
  <c r="AF683" i="1" s="1"/>
  <c r="Y684" i="1"/>
  <c r="Z684" i="1" s="1"/>
  <c r="AF684" i="1" s="1"/>
  <c r="Y685" i="1"/>
  <c r="Z685" i="1" s="1"/>
  <c r="AF685" i="1" s="1"/>
  <c r="Y686" i="1"/>
  <c r="Y687" i="1"/>
  <c r="Y688" i="1"/>
  <c r="Y689" i="1"/>
  <c r="Z689" i="1" s="1"/>
  <c r="AF689" i="1" s="1"/>
  <c r="Y690" i="1"/>
  <c r="Z690" i="1" s="1"/>
  <c r="AF690" i="1" s="1"/>
  <c r="Y691" i="1"/>
  <c r="Z691" i="1" s="1"/>
  <c r="AF691" i="1" s="1"/>
  <c r="Y692" i="1"/>
  <c r="Y693" i="1"/>
  <c r="Z693" i="1" s="1"/>
  <c r="AF693" i="1" s="1"/>
  <c r="Y694" i="1"/>
  <c r="Z694" i="1" s="1"/>
  <c r="AF694" i="1" s="1"/>
  <c r="Y695" i="1"/>
  <c r="Z695" i="1" s="1"/>
  <c r="Y696" i="1"/>
  <c r="Z696" i="1" s="1"/>
  <c r="Y697" i="1"/>
  <c r="Y698" i="1"/>
  <c r="Z698" i="1" s="1"/>
  <c r="AF698" i="1" s="1"/>
  <c r="Y699" i="1"/>
  <c r="Z699" i="1" s="1"/>
  <c r="AF699" i="1" s="1"/>
  <c r="Y700" i="1"/>
  <c r="Y701" i="1"/>
  <c r="Z701" i="1" s="1"/>
  <c r="AF701" i="1" s="1"/>
  <c r="Y702" i="1"/>
  <c r="Z702" i="1" s="1"/>
  <c r="AF702" i="1" s="1"/>
  <c r="Y703" i="1"/>
  <c r="Y704" i="1"/>
  <c r="Y705" i="1"/>
  <c r="Z705" i="1" s="1"/>
  <c r="AF705" i="1" s="1"/>
  <c r="Y706" i="1"/>
  <c r="Z706" i="1" s="1"/>
  <c r="AF706" i="1" s="1"/>
  <c r="Y707" i="1"/>
  <c r="Z707" i="1" s="1"/>
  <c r="AF707" i="1" s="1"/>
  <c r="Y708" i="1"/>
  <c r="Z708" i="1" s="1"/>
  <c r="AF708" i="1" s="1"/>
  <c r="Y709" i="1"/>
  <c r="Z709" i="1" s="1"/>
  <c r="AF709" i="1" s="1"/>
  <c r="Y710" i="1"/>
  <c r="Z710" i="1" s="1"/>
  <c r="AF710" i="1" s="1"/>
  <c r="Y711" i="1"/>
  <c r="Z711" i="1" s="1"/>
  <c r="AF711" i="1" s="1"/>
  <c r="Y712" i="1"/>
  <c r="Z712" i="1" s="1"/>
  <c r="AF712" i="1" s="1"/>
  <c r="Y713" i="1"/>
  <c r="Z713" i="1" s="1"/>
  <c r="AF713" i="1" s="1"/>
  <c r="Y714" i="1"/>
  <c r="Y715" i="1"/>
  <c r="Z715" i="1" s="1"/>
  <c r="AF715" i="1" s="1"/>
  <c r="Y716" i="1"/>
  <c r="Z716" i="1" s="1"/>
  <c r="AF716" i="1" s="1"/>
  <c r="Y717" i="1"/>
  <c r="Z717" i="1" s="1"/>
  <c r="AF717" i="1" s="1"/>
  <c r="Y718" i="1"/>
  <c r="Z718" i="1" s="1"/>
  <c r="Y719" i="1"/>
  <c r="Z719" i="1" s="1"/>
  <c r="AF719" i="1" s="1"/>
  <c r="Y720" i="1"/>
  <c r="Y721" i="1"/>
  <c r="Y722" i="1"/>
  <c r="Y723" i="1"/>
  <c r="Y724" i="1"/>
  <c r="Z724" i="1" s="1"/>
  <c r="AF724" i="1" s="1"/>
  <c r="Y725" i="1"/>
  <c r="Z725" i="1" s="1"/>
  <c r="AF725" i="1" s="1"/>
  <c r="Y726" i="1"/>
  <c r="Z726" i="1" s="1"/>
  <c r="AF726" i="1" s="1"/>
  <c r="Y727" i="1"/>
  <c r="Z727" i="1" s="1"/>
  <c r="AF727" i="1" s="1"/>
  <c r="Y728" i="1"/>
  <c r="Z728" i="1" s="1"/>
  <c r="AF728" i="1" s="1"/>
  <c r="Y729" i="1"/>
  <c r="Z729" i="1" s="1"/>
  <c r="AF729" i="1" s="1"/>
  <c r="Y730" i="1"/>
  <c r="Y731" i="1"/>
  <c r="Y732" i="1"/>
  <c r="Y733" i="1"/>
  <c r="Z733" i="1" s="1"/>
  <c r="AF733" i="1" s="1"/>
  <c r="Y734" i="1"/>
  <c r="Y735" i="1"/>
  <c r="Y736" i="1"/>
  <c r="Y737" i="1"/>
  <c r="Z737" i="1" s="1"/>
  <c r="AF737" i="1" s="1"/>
  <c r="Y738" i="1"/>
  <c r="Z738" i="1" s="1"/>
  <c r="AF738" i="1" s="1"/>
  <c r="Y739" i="1"/>
  <c r="Z739" i="1" s="1"/>
  <c r="AF739" i="1" s="1"/>
  <c r="Y740" i="1"/>
  <c r="Z740" i="1" s="1"/>
  <c r="Y741" i="1"/>
  <c r="Z741" i="1" s="1"/>
  <c r="AF741" i="1" s="1"/>
  <c r="Y742" i="1"/>
  <c r="Z742" i="1" s="1"/>
  <c r="AF742" i="1" s="1"/>
  <c r="Y743" i="1"/>
  <c r="Z743" i="1" s="1"/>
  <c r="AF743" i="1" s="1"/>
  <c r="Y744" i="1"/>
  <c r="Z744" i="1" s="1"/>
  <c r="AF744" i="1" s="1"/>
  <c r="Y745" i="1"/>
  <c r="Z745" i="1" s="1"/>
  <c r="AF745" i="1" s="1"/>
  <c r="Y746" i="1"/>
  <c r="Z746" i="1" s="1"/>
  <c r="AF746" i="1" s="1"/>
  <c r="Y747" i="1"/>
  <c r="Z747" i="1" s="1"/>
  <c r="Y748" i="1"/>
  <c r="Z748" i="1" s="1"/>
  <c r="AF748" i="1" s="1"/>
  <c r="Y749" i="1"/>
  <c r="Z749" i="1" s="1"/>
  <c r="AF749" i="1" s="1"/>
  <c r="Y750" i="1"/>
  <c r="Z750" i="1" s="1"/>
  <c r="AF750" i="1" s="1"/>
  <c r="Y751" i="1"/>
  <c r="Z751" i="1" s="1"/>
  <c r="AF751" i="1" s="1"/>
  <c r="Y752" i="1"/>
  <c r="Y753" i="1"/>
  <c r="Y754" i="1"/>
  <c r="Y755" i="1"/>
  <c r="Y756" i="1"/>
  <c r="Y757" i="1"/>
  <c r="Y758" i="1"/>
  <c r="Y759" i="1"/>
  <c r="Z759" i="1" s="1"/>
  <c r="AF759" i="1" s="1"/>
  <c r="Y760" i="1"/>
  <c r="Z760" i="1" s="1"/>
  <c r="AF760" i="1" s="1"/>
  <c r="Y761" i="1"/>
  <c r="Z761" i="1" s="1"/>
  <c r="Y762" i="1"/>
  <c r="Z762" i="1" s="1"/>
  <c r="Y763" i="1"/>
  <c r="Z763" i="1" s="1"/>
  <c r="AF763" i="1" s="1"/>
  <c r="Y764" i="1"/>
  <c r="Z764" i="1" s="1"/>
  <c r="AF764" i="1" s="1"/>
  <c r="Y765" i="1"/>
  <c r="Z765" i="1" s="1"/>
  <c r="AF765" i="1" s="1"/>
  <c r="Y766" i="1"/>
  <c r="Y767" i="1"/>
  <c r="Y768" i="1"/>
  <c r="Z768" i="1" s="1"/>
  <c r="AF768" i="1" s="1"/>
  <c r="Y769" i="1"/>
  <c r="Y770" i="1"/>
  <c r="Z770" i="1" s="1"/>
  <c r="AF770" i="1" s="1"/>
  <c r="Y771" i="1"/>
  <c r="Z771" i="1" s="1"/>
  <c r="AF771" i="1" s="1"/>
  <c r="Y772" i="1"/>
  <c r="Z772" i="1" s="1"/>
  <c r="AF772" i="1" s="1"/>
  <c r="Y773" i="1"/>
  <c r="Z773" i="1" s="1"/>
  <c r="AF773" i="1" s="1"/>
  <c r="Y774" i="1"/>
  <c r="Y775" i="1"/>
  <c r="Y776" i="1"/>
  <c r="Y777" i="1"/>
  <c r="Y778" i="1"/>
  <c r="Y779" i="1"/>
  <c r="Z779" i="1" s="1"/>
  <c r="AF779" i="1" s="1"/>
  <c r="Y780" i="1"/>
  <c r="Z780" i="1" s="1"/>
  <c r="AF780" i="1" s="1"/>
  <c r="Y781" i="1"/>
  <c r="Z781" i="1" s="1"/>
  <c r="AF781" i="1" s="1"/>
  <c r="Y782" i="1"/>
  <c r="Z782" i="1" s="1"/>
  <c r="AF782" i="1" s="1"/>
  <c r="Y783" i="1"/>
  <c r="Z783" i="1" s="1"/>
  <c r="Y784" i="1"/>
  <c r="Z784" i="1" s="1"/>
  <c r="Y785" i="1"/>
  <c r="Z785" i="1" s="1"/>
  <c r="AF785" i="1" s="1"/>
  <c r="Y786" i="1"/>
  <c r="Z786" i="1" s="1"/>
  <c r="AF786" i="1" s="1"/>
  <c r="Y787" i="1"/>
  <c r="Y788" i="1"/>
  <c r="Y789" i="1"/>
  <c r="Y790" i="1"/>
  <c r="Z790" i="1" s="1"/>
  <c r="AF790" i="1" s="1"/>
  <c r="Y791" i="1"/>
  <c r="Z791" i="1" s="1"/>
  <c r="AF791" i="1" s="1"/>
  <c r="Y792" i="1"/>
  <c r="Z792" i="1" s="1"/>
  <c r="AF792" i="1" s="1"/>
  <c r="Y793" i="1"/>
  <c r="Z793" i="1" s="1"/>
  <c r="AF793" i="1" s="1"/>
  <c r="Y794" i="1"/>
  <c r="Z794" i="1" s="1"/>
  <c r="AF794" i="1" s="1"/>
  <c r="Y795" i="1"/>
  <c r="Z795" i="1" s="1"/>
  <c r="AF795" i="1" s="1"/>
  <c r="Y796" i="1"/>
  <c r="Y797" i="1"/>
  <c r="Z797" i="1" s="1"/>
  <c r="AF797" i="1" s="1"/>
  <c r="Y798" i="1"/>
  <c r="Z798" i="1" s="1"/>
  <c r="AF798" i="1" s="1"/>
  <c r="Y799" i="1"/>
  <c r="Y800" i="1"/>
  <c r="Y801" i="1"/>
  <c r="Z801" i="1" s="1"/>
  <c r="AF801" i="1" s="1"/>
  <c r="Y802" i="1"/>
  <c r="Y803" i="1"/>
  <c r="Z803" i="1" s="1"/>
  <c r="AF803" i="1" s="1"/>
  <c r="Y804" i="1"/>
  <c r="Z804" i="1" s="1"/>
  <c r="AF804" i="1" s="1"/>
  <c r="Y805" i="1"/>
  <c r="Z805" i="1" s="1"/>
  <c r="Y806" i="1"/>
  <c r="Z806" i="1" s="1"/>
  <c r="Y807" i="1"/>
  <c r="Z807" i="1" s="1"/>
  <c r="AF807" i="1" s="1"/>
  <c r="Y808" i="1"/>
  <c r="Z808" i="1" s="1"/>
  <c r="AF808" i="1" s="1"/>
  <c r="Y809" i="1"/>
  <c r="Z809" i="1" s="1"/>
  <c r="AF809" i="1" s="1"/>
  <c r="Y810" i="1"/>
  <c r="Y811" i="1"/>
  <c r="Z811" i="1" s="1"/>
  <c r="AF811" i="1" s="1"/>
  <c r="Y812" i="1"/>
  <c r="Z812" i="1" s="1"/>
  <c r="AF812" i="1" s="1"/>
  <c r="Y813" i="1"/>
  <c r="Y814" i="1"/>
  <c r="Y815" i="1"/>
  <c r="Z815" i="1" s="1"/>
  <c r="AF815" i="1" s="1"/>
  <c r="Y816" i="1"/>
  <c r="Z816" i="1" s="1"/>
  <c r="AF816" i="1" s="1"/>
  <c r="Y817" i="1"/>
  <c r="Z817" i="1" s="1"/>
  <c r="AF817" i="1" s="1"/>
  <c r="Y818" i="1"/>
  <c r="Y819" i="1"/>
  <c r="Y820" i="1"/>
  <c r="Y821" i="1"/>
  <c r="Z821" i="1" s="1"/>
  <c r="Y822" i="1"/>
  <c r="Z822" i="1" s="1"/>
  <c r="Y823" i="1"/>
  <c r="Z823" i="1" s="1"/>
  <c r="AF823" i="1" s="1"/>
  <c r="Y824" i="1"/>
  <c r="Z824" i="1" s="1"/>
  <c r="AF824" i="1" s="1"/>
  <c r="Y825" i="1"/>
  <c r="Z825" i="1" s="1"/>
  <c r="AF825" i="1" s="1"/>
  <c r="Y826" i="1"/>
  <c r="Z826" i="1" s="1"/>
  <c r="AF826" i="1" s="1"/>
  <c r="Y827" i="1"/>
  <c r="Z827" i="1" s="1"/>
  <c r="AF827" i="1" s="1"/>
  <c r="Y828" i="1"/>
  <c r="Z828" i="1" s="1"/>
  <c r="Y829" i="1"/>
  <c r="Z829" i="1" s="1"/>
  <c r="AF829" i="1" s="1"/>
  <c r="Y830" i="1"/>
  <c r="Y831" i="1"/>
  <c r="Y832" i="1"/>
  <c r="Z832" i="1" s="1"/>
  <c r="AF832" i="1" s="1"/>
  <c r="Y833" i="1"/>
  <c r="Z833" i="1" s="1"/>
  <c r="AF833" i="1" s="1"/>
  <c r="Y834" i="1"/>
  <c r="Z834" i="1" s="1"/>
  <c r="AF834" i="1" s="1"/>
  <c r="Y835" i="1"/>
  <c r="Z835" i="1" s="1"/>
  <c r="AF835" i="1" s="1"/>
  <c r="Y836" i="1"/>
  <c r="Y837" i="1"/>
  <c r="Z837" i="1" s="1"/>
  <c r="AF837" i="1" s="1"/>
  <c r="Y838" i="1"/>
  <c r="Z838" i="1" s="1"/>
  <c r="AF838" i="1" s="1"/>
  <c r="Y839" i="1"/>
  <c r="Z839" i="1" s="1"/>
  <c r="AF839" i="1" s="1"/>
  <c r="Y840" i="1"/>
  <c r="Z840" i="1" s="1"/>
  <c r="AF840" i="1" s="1"/>
  <c r="Y841" i="1"/>
  <c r="Z841" i="1" s="1"/>
  <c r="AF841" i="1" s="1"/>
  <c r="Y842" i="1"/>
  <c r="Y843" i="1"/>
  <c r="Z843" i="1" s="1"/>
  <c r="Y844" i="1"/>
  <c r="Y845" i="1"/>
  <c r="Y846" i="1"/>
  <c r="Y847" i="1"/>
  <c r="Z847" i="1" s="1"/>
  <c r="AF847" i="1" s="1"/>
  <c r="Y848" i="1"/>
  <c r="Z848" i="1" s="1"/>
  <c r="AF848" i="1" s="1"/>
  <c r="Y849" i="1"/>
  <c r="Z849" i="1" s="1"/>
  <c r="AF849" i="1" s="1"/>
  <c r="Y850" i="1"/>
  <c r="Z850" i="1" s="1"/>
  <c r="AF850" i="1" s="1"/>
  <c r="Y851" i="1"/>
  <c r="Z851" i="1" s="1"/>
  <c r="AF851" i="1" s="1"/>
  <c r="Y852" i="1"/>
  <c r="Z852" i="1" s="1"/>
  <c r="AF852" i="1" s="1"/>
  <c r="Y853" i="1"/>
  <c r="Z853" i="1" s="1"/>
  <c r="AF853" i="1" s="1"/>
  <c r="Y854" i="1"/>
  <c r="Z854" i="1" s="1"/>
  <c r="AF854" i="1" s="1"/>
  <c r="Y855" i="1"/>
  <c r="Y856" i="1"/>
  <c r="Z856" i="1" s="1"/>
  <c r="AF856" i="1" s="1"/>
  <c r="Y857" i="1"/>
  <c r="Z857" i="1" s="1"/>
  <c r="AF857" i="1" s="1"/>
  <c r="Y858" i="1"/>
  <c r="Z858" i="1" s="1"/>
  <c r="AF858" i="1" s="1"/>
  <c r="Y859" i="1"/>
  <c r="Z859" i="1" s="1"/>
  <c r="AF859" i="1" s="1"/>
  <c r="Y860" i="1"/>
  <c r="Z860" i="1" s="1"/>
  <c r="AF860" i="1" s="1"/>
  <c r="Y861" i="1"/>
  <c r="Z861" i="1" s="1"/>
  <c r="AF861" i="1" s="1"/>
  <c r="Y862" i="1"/>
  <c r="Y863" i="1"/>
  <c r="Y864" i="1"/>
  <c r="Y865" i="1"/>
  <c r="Z865" i="1" s="1"/>
  <c r="AF865" i="1" s="1"/>
  <c r="Y866" i="1"/>
  <c r="Z866" i="1" s="1"/>
  <c r="AF866" i="1" s="1"/>
  <c r="Y867" i="1"/>
  <c r="Z867" i="1" s="1"/>
  <c r="AF867" i="1" s="1"/>
  <c r="Y868" i="1"/>
  <c r="Z868" i="1" s="1"/>
  <c r="AF868" i="1" s="1"/>
  <c r="Y869" i="1"/>
  <c r="Z869" i="1" s="1"/>
  <c r="AF869" i="1" s="1"/>
  <c r="Y870" i="1"/>
  <c r="Z870" i="1" s="1"/>
  <c r="AF870" i="1" s="1"/>
  <c r="Y871" i="1"/>
  <c r="Z871" i="1" s="1"/>
  <c r="Y872" i="1"/>
  <c r="Z872" i="1" s="1"/>
  <c r="Y873" i="1"/>
  <c r="Z873" i="1" s="1"/>
  <c r="AF873" i="1" s="1"/>
  <c r="Y874" i="1"/>
  <c r="Z874" i="1" s="1"/>
  <c r="AF874" i="1" s="1"/>
  <c r="Y875" i="1"/>
  <c r="Z875" i="1" s="1"/>
  <c r="AF875" i="1" s="1"/>
  <c r="Y876" i="1"/>
  <c r="Z876" i="1" s="1"/>
  <c r="AF876" i="1" s="1"/>
  <c r="Y877" i="1"/>
  <c r="Z877" i="1" s="1"/>
  <c r="AF877" i="1" s="1"/>
  <c r="Y878" i="1"/>
  <c r="Z878" i="1" s="1"/>
  <c r="AF878" i="1" s="1"/>
  <c r="Y879" i="1"/>
  <c r="Z879" i="1" s="1"/>
  <c r="AF879" i="1" s="1"/>
  <c r="Y880" i="1"/>
  <c r="Z880" i="1" s="1"/>
  <c r="AF880" i="1" s="1"/>
  <c r="Y881" i="1"/>
  <c r="Z881" i="1" s="1"/>
  <c r="AF881" i="1" s="1"/>
  <c r="Y882" i="1"/>
  <c r="Z882" i="1" s="1"/>
  <c r="AF882" i="1" s="1"/>
  <c r="Y883" i="1"/>
  <c r="Z883" i="1" s="1"/>
  <c r="AF883" i="1" s="1"/>
  <c r="Y884" i="1"/>
  <c r="Y885" i="1"/>
  <c r="Y886" i="1"/>
  <c r="Y887" i="1"/>
  <c r="Y888" i="1"/>
  <c r="Y889" i="1"/>
  <c r="Z889" i="1" s="1"/>
  <c r="AF889" i="1" s="1"/>
  <c r="Y890" i="1"/>
  <c r="Z890" i="1" s="1"/>
  <c r="AF890" i="1" s="1"/>
  <c r="Y891" i="1"/>
  <c r="Z891" i="1" s="1"/>
  <c r="AF891" i="1" s="1"/>
  <c r="Y892" i="1"/>
  <c r="Z892" i="1" s="1"/>
  <c r="AF892" i="1" s="1"/>
  <c r="Y893" i="1"/>
  <c r="Z893" i="1" s="1"/>
  <c r="AF893" i="1" s="1"/>
  <c r="Y894" i="1"/>
  <c r="Z894" i="1" s="1"/>
  <c r="AF894" i="1" s="1"/>
  <c r="Y895" i="1"/>
  <c r="Z895" i="1" s="1"/>
  <c r="AF895" i="1" s="1"/>
  <c r="Y896" i="1"/>
  <c r="Z896" i="1" s="1"/>
  <c r="AF896" i="1" s="1"/>
  <c r="Y897" i="1"/>
  <c r="Y898" i="1"/>
  <c r="Y899" i="1"/>
  <c r="Y900" i="1"/>
  <c r="Z900" i="1" s="1"/>
  <c r="AF900" i="1" s="1"/>
  <c r="Y901" i="1"/>
  <c r="Z901" i="1" s="1"/>
  <c r="AF901" i="1" s="1"/>
  <c r="Y902" i="1"/>
  <c r="Z902" i="1" s="1"/>
  <c r="AF902" i="1" s="1"/>
  <c r="Y903" i="1"/>
  <c r="Z903" i="1" s="1"/>
  <c r="AF903" i="1" s="1"/>
  <c r="Y904" i="1"/>
  <c r="Z904" i="1" s="1"/>
  <c r="AF904" i="1" s="1"/>
  <c r="Y905" i="1"/>
  <c r="Z905" i="1" s="1"/>
  <c r="AF905" i="1" s="1"/>
  <c r="Y906" i="1"/>
  <c r="Y907" i="1"/>
  <c r="Y908" i="1"/>
  <c r="Y909" i="1"/>
  <c r="Y910" i="1"/>
  <c r="Z910" i="1" s="1"/>
  <c r="AF910" i="1" s="1"/>
  <c r="Y911" i="1"/>
  <c r="Z911" i="1" s="1"/>
  <c r="AF911" i="1" s="1"/>
  <c r="Y912" i="1"/>
  <c r="Z912" i="1" s="1"/>
  <c r="AF912" i="1" s="1"/>
  <c r="Y913" i="1"/>
  <c r="Z913" i="1" s="1"/>
  <c r="AF913" i="1" s="1"/>
  <c r="Y2" i="1"/>
  <c r="D903" i="1"/>
  <c r="D904" i="1"/>
  <c r="D905" i="1"/>
  <c r="D906" i="1"/>
  <c r="D907" i="1"/>
  <c r="D9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8" i="1"/>
  <c r="D909" i="1"/>
  <c r="D910" i="1"/>
  <c r="D911" i="1"/>
  <c r="D912" i="1"/>
  <c r="D913" i="1"/>
  <c r="D2" i="1"/>
  <c r="AE913" i="1" l="1"/>
  <c r="AE850" i="1"/>
  <c r="AE784" i="1"/>
  <c r="AE718" i="1"/>
  <c r="AE630" i="1"/>
  <c r="AE564" i="1"/>
  <c r="AE498" i="1"/>
  <c r="AE763" i="1"/>
  <c r="AE894" i="1"/>
  <c r="AE828" i="1"/>
  <c r="AE762" i="1"/>
  <c r="AE696" i="1"/>
  <c r="AE652" i="1"/>
  <c r="AE586" i="1"/>
  <c r="AE520" i="1"/>
  <c r="AE872" i="1"/>
  <c r="AE806" i="1"/>
  <c r="AE740" i="1"/>
  <c r="AE674" i="1"/>
  <c r="AE608" i="1"/>
  <c r="AE542" i="1"/>
  <c r="AE476" i="1"/>
  <c r="AE629" i="1"/>
  <c r="AE826" i="1"/>
  <c r="AE804" i="1"/>
  <c r="AE782" i="1"/>
  <c r="AE628" i="1"/>
  <c r="AE584" i="1"/>
  <c r="AE562" i="1"/>
  <c r="AE540" i="1"/>
  <c r="AE891" i="1"/>
  <c r="AE869" i="1"/>
  <c r="AE847" i="1"/>
  <c r="AE825" i="1"/>
  <c r="AE803" i="1"/>
  <c r="AE781" i="1"/>
  <c r="AE759" i="1"/>
  <c r="AE737" i="1"/>
  <c r="AE671" i="1"/>
  <c r="AE649" i="1"/>
  <c r="AE627" i="1"/>
  <c r="AE583" i="1"/>
  <c r="AE561" i="1"/>
  <c r="AE539" i="1"/>
  <c r="AE495" i="1"/>
  <c r="AE890" i="1"/>
  <c r="AE582" i="1"/>
  <c r="AE902" i="1"/>
  <c r="AE836" i="1"/>
  <c r="AE814" i="1"/>
  <c r="AE704" i="1"/>
  <c r="AE660" i="1"/>
  <c r="AE616" i="1"/>
  <c r="AE506" i="1"/>
  <c r="AE484" i="1"/>
  <c r="AE901" i="1"/>
  <c r="AE813" i="1"/>
  <c r="AE769" i="1"/>
  <c r="AE703" i="1"/>
  <c r="AE615" i="1"/>
  <c r="AE527" i="1"/>
  <c r="AE505" i="1"/>
  <c r="AE483" i="1"/>
  <c r="AE461" i="1"/>
  <c r="AE791" i="1"/>
  <c r="AE682" i="1"/>
  <c r="AE681" i="1"/>
  <c r="AE521" i="1"/>
  <c r="AE587" i="1"/>
  <c r="AE572" i="1"/>
  <c r="AE871" i="1"/>
  <c r="AE571" i="1"/>
  <c r="AE541" i="1"/>
  <c r="AE697" i="1"/>
  <c r="Z836" i="1"/>
  <c r="AF836" i="1" s="1"/>
  <c r="AE637" i="1"/>
  <c r="AE879" i="1"/>
  <c r="AE748" i="1"/>
  <c r="Z616" i="1"/>
  <c r="Z506" i="1"/>
  <c r="AE747" i="1"/>
  <c r="Z769" i="1"/>
  <c r="Z615" i="1"/>
  <c r="Z505" i="1"/>
  <c r="AE870" i="1"/>
  <c r="AE738" i="1"/>
  <c r="AE517" i="1"/>
  <c r="Z461" i="1"/>
  <c r="AE659" i="1"/>
  <c r="AE889" i="1"/>
  <c r="AE880" i="1"/>
  <c r="AE792" i="1"/>
  <c r="AE528" i="1"/>
  <c r="Z814" i="1"/>
  <c r="Z660" i="1"/>
  <c r="AE858" i="1"/>
  <c r="AE726" i="1"/>
  <c r="AE606" i="1"/>
  <c r="AE835" i="1"/>
  <c r="AE593" i="1"/>
  <c r="Z813" i="1"/>
  <c r="AE857" i="1"/>
  <c r="AE725" i="1"/>
  <c r="AE605" i="1"/>
  <c r="AE549" i="1"/>
  <c r="AE513" i="1"/>
  <c r="AE770" i="1"/>
  <c r="AE638" i="1"/>
  <c r="AE550" i="1"/>
  <c r="AE900" i="1"/>
  <c r="AE878" i="1"/>
  <c r="AE856" i="1"/>
  <c r="AE834" i="1"/>
  <c r="AE812" i="1"/>
  <c r="AE790" i="1"/>
  <c r="AE768" i="1"/>
  <c r="AE746" i="1"/>
  <c r="AE724" i="1"/>
  <c r="AE702" i="1"/>
  <c r="AE680" i="1"/>
  <c r="AE658" i="1"/>
  <c r="AE636" i="1"/>
  <c r="AE614" i="1"/>
  <c r="AE592" i="1"/>
  <c r="AE570" i="1"/>
  <c r="AE548" i="1"/>
  <c r="AE526" i="1"/>
  <c r="AE504" i="1"/>
  <c r="AE482" i="1"/>
  <c r="AE460" i="1"/>
  <c r="Z704" i="1"/>
  <c r="AE848" i="1"/>
  <c r="AE716" i="1"/>
  <c r="AE594" i="1"/>
  <c r="AE496" i="1"/>
  <c r="AE887" i="1"/>
  <c r="AE777" i="1"/>
  <c r="AE623" i="1"/>
  <c r="AE886" i="1"/>
  <c r="AE666" i="1"/>
  <c r="AE600" i="1"/>
  <c r="AE474" i="1"/>
  <c r="AE895" i="1"/>
  <c r="AE873" i="1"/>
  <c r="AE851" i="1"/>
  <c r="AE829" i="1"/>
  <c r="AE807" i="1"/>
  <c r="AE785" i="1"/>
  <c r="AE741" i="1"/>
  <c r="AE719" i="1"/>
  <c r="AE675" i="1"/>
  <c r="AE653" i="1"/>
  <c r="AE631" i="1"/>
  <c r="AE609" i="1"/>
  <c r="AE565" i="1"/>
  <c r="AE543" i="1"/>
  <c r="AE499" i="1"/>
  <c r="AE477" i="1"/>
  <c r="AE885" i="1"/>
  <c r="AE841" i="1"/>
  <c r="AE819" i="1"/>
  <c r="AE797" i="1"/>
  <c r="AE775" i="1"/>
  <c r="AE731" i="1"/>
  <c r="AE709" i="1"/>
  <c r="AE687" i="1"/>
  <c r="AE665" i="1"/>
  <c r="AE643" i="1"/>
  <c r="AE621" i="1"/>
  <c r="AE599" i="1"/>
  <c r="AE577" i="1"/>
  <c r="AE555" i="1"/>
  <c r="AE533" i="1"/>
  <c r="AE511" i="1"/>
  <c r="AE489" i="1"/>
  <c r="Z697" i="1"/>
  <c r="AE824" i="1"/>
  <c r="AE695" i="1"/>
  <c r="AE581" i="1"/>
  <c r="AE462" i="1"/>
  <c r="Z703" i="1"/>
  <c r="Z484" i="1"/>
  <c r="AE799" i="1"/>
  <c r="AE755" i="1"/>
  <c r="AE667" i="1"/>
  <c r="AE601" i="1"/>
  <c r="AE557" i="1"/>
  <c r="Z755" i="1"/>
  <c r="AF755" i="1" s="1"/>
  <c r="Z483" i="1"/>
  <c r="AE798" i="1"/>
  <c r="AE622" i="1"/>
  <c r="AE512" i="1"/>
  <c r="AE884" i="1"/>
  <c r="AE840" i="1"/>
  <c r="AE818" i="1"/>
  <c r="AE774" i="1"/>
  <c r="AE730" i="1"/>
  <c r="AE708" i="1"/>
  <c r="AE642" i="1"/>
  <c r="Z533" i="1"/>
  <c r="AE694" i="1"/>
  <c r="AE580" i="1"/>
  <c r="AE909" i="1"/>
  <c r="AE908" i="1"/>
  <c r="AE842" i="1"/>
  <c r="AE776" i="1"/>
  <c r="AE710" i="1"/>
  <c r="AE556" i="1"/>
  <c r="AE490" i="1"/>
  <c r="AE893" i="1"/>
  <c r="AE849" i="1"/>
  <c r="AE827" i="1"/>
  <c r="AE805" i="1"/>
  <c r="AE783" i="1"/>
  <c r="AE761" i="1"/>
  <c r="AE739" i="1"/>
  <c r="AE717" i="1"/>
  <c r="AE673" i="1"/>
  <c r="AE651" i="1"/>
  <c r="AE607" i="1"/>
  <c r="AE585" i="1"/>
  <c r="AE563" i="1"/>
  <c r="AE519" i="1"/>
  <c r="AE497" i="1"/>
  <c r="AE475" i="1"/>
  <c r="Z799" i="1"/>
  <c r="AE693" i="1"/>
  <c r="AE579" i="1"/>
  <c r="Z802" i="1"/>
  <c r="AE802" i="1"/>
  <c r="Z516" i="1"/>
  <c r="AE516" i="1"/>
  <c r="Z515" i="1"/>
  <c r="AE515" i="1"/>
  <c r="Z536" i="1"/>
  <c r="AE536" i="1"/>
  <c r="AE864" i="1"/>
  <c r="Z864" i="1"/>
  <c r="AE732" i="1"/>
  <c r="Z732" i="1"/>
  <c r="AE644" i="1"/>
  <c r="Z644" i="1"/>
  <c r="AE863" i="1"/>
  <c r="Z863" i="1"/>
  <c r="AE752" i="1"/>
  <c r="Z752" i="1"/>
  <c r="Z576" i="1"/>
  <c r="AE576" i="1"/>
  <c r="Z466" i="1"/>
  <c r="AE466" i="1"/>
  <c r="AE866" i="1"/>
  <c r="AE690" i="1"/>
  <c r="AE625" i="1"/>
  <c r="Z909" i="1"/>
  <c r="AE865" i="1"/>
  <c r="AE689" i="1"/>
  <c r="AE624" i="1"/>
  <c r="Z908" i="1"/>
  <c r="Z819" i="1"/>
  <c r="Z777" i="1"/>
  <c r="Z846" i="1"/>
  <c r="AE846" i="1"/>
  <c r="Z692" i="1"/>
  <c r="AE692" i="1"/>
  <c r="Z493" i="1"/>
  <c r="AE493" i="1"/>
  <c r="Z756" i="1"/>
  <c r="AF756" i="1" s="1"/>
  <c r="AE756" i="1"/>
  <c r="Z645" i="1"/>
  <c r="AE645" i="1"/>
  <c r="AE820" i="1"/>
  <c r="Z820" i="1"/>
  <c r="AF820" i="1" s="1"/>
  <c r="AE578" i="1"/>
  <c r="Z578" i="1"/>
  <c r="AE534" i="1"/>
  <c r="Z534" i="1"/>
  <c r="AE468" i="1"/>
  <c r="Z468" i="1"/>
  <c r="AE907" i="1"/>
  <c r="Z907" i="1"/>
  <c r="AE796" i="1"/>
  <c r="Z796" i="1"/>
  <c r="Z664" i="1"/>
  <c r="AE664" i="1"/>
  <c r="Z598" i="1"/>
  <c r="AE598" i="1"/>
  <c r="Z532" i="1"/>
  <c r="AE532" i="1"/>
  <c r="AE626" i="1"/>
  <c r="Z818" i="1"/>
  <c r="Z642" i="1"/>
  <c r="AE912" i="1"/>
  <c r="AE801" i="1"/>
  <c r="Z758" i="1"/>
  <c r="AF758" i="1" s="1"/>
  <c r="AE758" i="1"/>
  <c r="Z714" i="1"/>
  <c r="AE714" i="1"/>
  <c r="Z560" i="1"/>
  <c r="AE560" i="1"/>
  <c r="Z494" i="1"/>
  <c r="AE494" i="1"/>
  <c r="Z757" i="1"/>
  <c r="AE757" i="1"/>
  <c r="Z603" i="1"/>
  <c r="AE603" i="1"/>
  <c r="Z844" i="1"/>
  <c r="AE844" i="1"/>
  <c r="Z800" i="1"/>
  <c r="AF800" i="1" s="1"/>
  <c r="AE800" i="1"/>
  <c r="Z778" i="1"/>
  <c r="AF778" i="1" s="1"/>
  <c r="AE778" i="1"/>
  <c r="Z734" i="1"/>
  <c r="AE734" i="1"/>
  <c r="Z646" i="1"/>
  <c r="AE646" i="1"/>
  <c r="Z602" i="1"/>
  <c r="AE602" i="1"/>
  <c r="Z558" i="1"/>
  <c r="AE558" i="1"/>
  <c r="Z514" i="1"/>
  <c r="AE514" i="1"/>
  <c r="Z535" i="1"/>
  <c r="AE535" i="1"/>
  <c r="AE754" i="1"/>
  <c r="Z754" i="1"/>
  <c r="AE753" i="1"/>
  <c r="Z753" i="1"/>
  <c r="AF753" i="1" s="1"/>
  <c r="AE467" i="1"/>
  <c r="Z467" i="1"/>
  <c r="AE868" i="1"/>
  <c r="AE906" i="1"/>
  <c r="Z906" i="1"/>
  <c r="AF906" i="1" s="1"/>
  <c r="AE862" i="1"/>
  <c r="Z862" i="1"/>
  <c r="Z686" i="1"/>
  <c r="AE686" i="1"/>
  <c r="Z620" i="1"/>
  <c r="AE620" i="1"/>
  <c r="Z554" i="1"/>
  <c r="AE554" i="1"/>
  <c r="Z488" i="1"/>
  <c r="AE488" i="1"/>
  <c r="AE867" i="1"/>
  <c r="Z776" i="1"/>
  <c r="AF776" i="1" s="1"/>
  <c r="Z687" i="1"/>
  <c r="AF687" i="1" s="1"/>
  <c r="Z643" i="1"/>
  <c r="Z601" i="1"/>
  <c r="Z557" i="1"/>
  <c r="Z512" i="1"/>
  <c r="AE491" i="1"/>
  <c r="Z775" i="1"/>
  <c r="AF775" i="1" s="1"/>
  <c r="Z731" i="1"/>
  <c r="AF731" i="1" s="1"/>
  <c r="Z600" i="1"/>
  <c r="Z556" i="1"/>
  <c r="Z511" i="1"/>
  <c r="Z774" i="1"/>
  <c r="Z730" i="1"/>
  <c r="Z599" i="1"/>
  <c r="Z555" i="1"/>
  <c r="AE911" i="1"/>
  <c r="AE733" i="1"/>
  <c r="AE823" i="1"/>
  <c r="AE822" i="1"/>
  <c r="Z510" i="1"/>
  <c r="AE510" i="1"/>
  <c r="AE691" i="1"/>
  <c r="AE899" i="1"/>
  <c r="Z899" i="1"/>
  <c r="AE877" i="1"/>
  <c r="AE855" i="1"/>
  <c r="Z855" i="1"/>
  <c r="AE833" i="1"/>
  <c r="AE811" i="1"/>
  <c r="AE789" i="1"/>
  <c r="Z789" i="1"/>
  <c r="AE767" i="1"/>
  <c r="Z767" i="1"/>
  <c r="AE745" i="1"/>
  <c r="AE723" i="1"/>
  <c r="Z723" i="1"/>
  <c r="AE701" i="1"/>
  <c r="AE679" i="1"/>
  <c r="AE657" i="1"/>
  <c r="AE635" i="1"/>
  <c r="AE613" i="1"/>
  <c r="AE591" i="1"/>
  <c r="AE569" i="1"/>
  <c r="AE547" i="1"/>
  <c r="AE525" i="1"/>
  <c r="AE503" i="1"/>
  <c r="Z503" i="1"/>
  <c r="AE481" i="1"/>
  <c r="AE459" i="1"/>
  <c r="Z459" i="1"/>
  <c r="AE910" i="1"/>
  <c r="AE670" i="1"/>
  <c r="Z736" i="1"/>
  <c r="AF736" i="1" s="1"/>
  <c r="AE736" i="1"/>
  <c r="Z604" i="1"/>
  <c r="AE604" i="1"/>
  <c r="Z735" i="1"/>
  <c r="AE735" i="1"/>
  <c r="Z888" i="1"/>
  <c r="AE888" i="1"/>
  <c r="AE688" i="1"/>
  <c r="Z688" i="1"/>
  <c r="AE876" i="1"/>
  <c r="AE832" i="1"/>
  <c r="AE766" i="1"/>
  <c r="AE722" i="1"/>
  <c r="AE678" i="1"/>
  <c r="AE634" i="1"/>
  <c r="AE590" i="1"/>
  <c r="Z590" i="1"/>
  <c r="AE546" i="1"/>
  <c r="AE502" i="1"/>
  <c r="AE669" i="1"/>
  <c r="AE875" i="1"/>
  <c r="AE831" i="1"/>
  <c r="Z831" i="1"/>
  <c r="AE843" i="1"/>
  <c r="AE469" i="1"/>
  <c r="Z887" i="1"/>
  <c r="Z546" i="1"/>
  <c r="Z886" i="1"/>
  <c r="Z885" i="1"/>
  <c r="AE780" i="1"/>
  <c r="AE711" i="1"/>
  <c r="Z472" i="1"/>
  <c r="AE472" i="1"/>
  <c r="AE648" i="1"/>
  <c r="Z845" i="1"/>
  <c r="AE845" i="1"/>
  <c r="Z559" i="1"/>
  <c r="AE559" i="1"/>
  <c r="AE647" i="1"/>
  <c r="Z492" i="1"/>
  <c r="AE492" i="1"/>
  <c r="AE821" i="1"/>
  <c r="AE898" i="1"/>
  <c r="Z898" i="1"/>
  <c r="AF898" i="1" s="1"/>
  <c r="AE854" i="1"/>
  <c r="AE810" i="1"/>
  <c r="AE788" i="1"/>
  <c r="Z788" i="1"/>
  <c r="AE744" i="1"/>
  <c r="AE700" i="1"/>
  <c r="Z700" i="1"/>
  <c r="AF700" i="1" s="1"/>
  <c r="AE656" i="1"/>
  <c r="AE612" i="1"/>
  <c r="Z612" i="1"/>
  <c r="AE568" i="1"/>
  <c r="AE524" i="1"/>
  <c r="AE480" i="1"/>
  <c r="AE471" i="1"/>
  <c r="AE897" i="1"/>
  <c r="Z897" i="1"/>
  <c r="AE853" i="1"/>
  <c r="Z810" i="1"/>
  <c r="Z678" i="1"/>
  <c r="Z502" i="1"/>
  <c r="AE668" i="1"/>
  <c r="AE470" i="1"/>
  <c r="Z766" i="1"/>
  <c r="AF766" i="1" s="1"/>
  <c r="Z722" i="1"/>
  <c r="AF722" i="1" s="1"/>
  <c r="Z634" i="1"/>
  <c r="AE713" i="1"/>
  <c r="AE538" i="1"/>
  <c r="AE712" i="1"/>
  <c r="AE537" i="1"/>
  <c r="Z884" i="1"/>
  <c r="AF884" i="1" s="1"/>
  <c r="Z842" i="1"/>
  <c r="Z490" i="1"/>
  <c r="AE779" i="1"/>
  <c r="AE892" i="1"/>
  <c r="AE650" i="1"/>
  <c r="AE809" i="1"/>
  <c r="AE787" i="1"/>
  <c r="AE765" i="1"/>
  <c r="AE743" i="1"/>
  <c r="AE721" i="1"/>
  <c r="AE699" i="1"/>
  <c r="AE677" i="1"/>
  <c r="AE655" i="1"/>
  <c r="AE633" i="1"/>
  <c r="AE611" i="1"/>
  <c r="AE589" i="1"/>
  <c r="AE567" i="1"/>
  <c r="AE545" i="1"/>
  <c r="AE523" i="1"/>
  <c r="AE501" i="1"/>
  <c r="AE479" i="1"/>
  <c r="Z655" i="1"/>
  <c r="Z545" i="1"/>
  <c r="AF545" i="1" s="1"/>
  <c r="AE896" i="1"/>
  <c r="AE874" i="1"/>
  <c r="AE852" i="1"/>
  <c r="AE830" i="1"/>
  <c r="AE808" i="1"/>
  <c r="AE786" i="1"/>
  <c r="AE764" i="1"/>
  <c r="AE742" i="1"/>
  <c r="AE720" i="1"/>
  <c r="AE698" i="1"/>
  <c r="AE676" i="1"/>
  <c r="AE654" i="1"/>
  <c r="AE632" i="1"/>
  <c r="AE610" i="1"/>
  <c r="AE588" i="1"/>
  <c r="AE566" i="1"/>
  <c r="AE544" i="1"/>
  <c r="AE522" i="1"/>
  <c r="AE500" i="1"/>
  <c r="AE478" i="1"/>
  <c r="Z830" i="1"/>
  <c r="Z654" i="1"/>
  <c r="Z544" i="1"/>
  <c r="AF544" i="1" s="1"/>
  <c r="AE760" i="1"/>
  <c r="AE518" i="1"/>
  <c r="Z501" i="1"/>
  <c r="Z2" i="1"/>
  <c r="Z720" i="1"/>
  <c r="Z611" i="1"/>
  <c r="Z500" i="1"/>
  <c r="AE715" i="1"/>
  <c r="AE473" i="1"/>
  <c r="Z721" i="1"/>
  <c r="AF721" i="1" s="1"/>
  <c r="Z787" i="1"/>
  <c r="AF787" i="1" s="1"/>
  <c r="Z610" i="1"/>
  <c r="AE2" i="1"/>
  <c r="AE672" i="1"/>
  <c r="AE905" i="1"/>
  <c r="AE883" i="1"/>
  <c r="AE861" i="1"/>
  <c r="AE839" i="1"/>
  <c r="AE817" i="1"/>
  <c r="AE795" i="1"/>
  <c r="AE773" i="1"/>
  <c r="AE751" i="1"/>
  <c r="AE729" i="1"/>
  <c r="AE707" i="1"/>
  <c r="AE685" i="1"/>
  <c r="AE663" i="1"/>
  <c r="AE641" i="1"/>
  <c r="AE619" i="1"/>
  <c r="AE597" i="1"/>
  <c r="AE575" i="1"/>
  <c r="AE553" i="1"/>
  <c r="AE531" i="1"/>
  <c r="AE509" i="1"/>
  <c r="AE487" i="1"/>
  <c r="AE465" i="1"/>
  <c r="AE904" i="1"/>
  <c r="AE882" i="1"/>
  <c r="AE860" i="1"/>
  <c r="AE838" i="1"/>
  <c r="AE816" i="1"/>
  <c r="AE794" i="1"/>
  <c r="AE772" i="1"/>
  <c r="AE750" i="1"/>
  <c r="AE728" i="1"/>
  <c r="AE706" i="1"/>
  <c r="AE684" i="1"/>
  <c r="AE662" i="1"/>
  <c r="AE640" i="1"/>
  <c r="AE618" i="1"/>
  <c r="AE596" i="1"/>
  <c r="AE574" i="1"/>
  <c r="AE552" i="1"/>
  <c r="AE530" i="1"/>
  <c r="AE508" i="1"/>
  <c r="AE486" i="1"/>
  <c r="AE464" i="1"/>
  <c r="AE903" i="1"/>
  <c r="AE881" i="1"/>
  <c r="AE859" i="1"/>
  <c r="AE837" i="1"/>
  <c r="AE815" i="1"/>
  <c r="AE793" i="1"/>
  <c r="AE771" i="1"/>
  <c r="AE749" i="1"/>
  <c r="AE727" i="1"/>
  <c r="AE705" i="1"/>
  <c r="AE683" i="1"/>
  <c r="AE661" i="1"/>
  <c r="AE639" i="1"/>
  <c r="AE617" i="1"/>
  <c r="AE595" i="1"/>
  <c r="AE573" i="1"/>
  <c r="AE551" i="1"/>
  <c r="AE529" i="1"/>
  <c r="AE507" i="1"/>
  <c r="AE485" i="1"/>
  <c r="AE463" i="1"/>
  <c r="AE3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3" i="1"/>
  <c r="AE85" i="1"/>
  <c r="AE86" i="1"/>
  <c r="AE88" i="1"/>
  <c r="AE89" i="1"/>
  <c r="AE91" i="1"/>
  <c r="AE92" i="1"/>
  <c r="AE93" i="1"/>
  <c r="AE95" i="1"/>
  <c r="AE97" i="1"/>
  <c r="AE99" i="1"/>
  <c r="AE101" i="1"/>
  <c r="AE124" i="1"/>
  <c r="AE127" i="1"/>
  <c r="AE129" i="1"/>
  <c r="AE131" i="1"/>
  <c r="AE133" i="1"/>
  <c r="AE134" i="1"/>
  <c r="AE136" i="1"/>
  <c r="AE138" i="1"/>
  <c r="AE139" i="1"/>
  <c r="AE141" i="1"/>
  <c r="AE142" i="1"/>
  <c r="AE144" i="1"/>
  <c r="AE146" i="1"/>
  <c r="AE147" i="1"/>
  <c r="AE149" i="1"/>
  <c r="AE150" i="1"/>
  <c r="AE152" i="1"/>
  <c r="AE154" i="1"/>
  <c r="AE156" i="1"/>
  <c r="AE157" i="1"/>
  <c r="AE159" i="1"/>
  <c r="AE161" i="1"/>
  <c r="AE163" i="1"/>
  <c r="AE165" i="1"/>
  <c r="AE167" i="1"/>
  <c r="AE168" i="1"/>
  <c r="AE169" i="1"/>
  <c r="AE171" i="1"/>
  <c r="AE172" i="1"/>
  <c r="AE173" i="1"/>
  <c r="AE175" i="1"/>
  <c r="AE176" i="1"/>
  <c r="AE178" i="1"/>
  <c r="AE179" i="1"/>
  <c r="AE181" i="1"/>
  <c r="AE183" i="1"/>
  <c r="AE184" i="1"/>
  <c r="AE186" i="1"/>
  <c r="AE187" i="1"/>
  <c r="AE189" i="1"/>
  <c r="AE191" i="1"/>
  <c r="AE192" i="1"/>
  <c r="AE194" i="1"/>
  <c r="AE195" i="1"/>
  <c r="AE197" i="1"/>
  <c r="AE199" i="1"/>
  <c r="AE201" i="1"/>
  <c r="AE203" i="1"/>
  <c r="AE206" i="1"/>
  <c r="AE207" i="1"/>
  <c r="AE209" i="1"/>
  <c r="AE211" i="1"/>
  <c r="AE213" i="1"/>
  <c r="AE215" i="1"/>
  <c r="AE217" i="1"/>
  <c r="AE219" i="1"/>
  <c r="AE220" i="1"/>
  <c r="AE221" i="1"/>
  <c r="AE223" i="1"/>
  <c r="AE225" i="1"/>
  <c r="AE227" i="1"/>
  <c r="AE228" i="1"/>
  <c r="AE230" i="1"/>
  <c r="AE233" i="1"/>
  <c r="AE235" i="1"/>
  <c r="AE237" i="1"/>
  <c r="AE238" i="1"/>
  <c r="AE240" i="1"/>
  <c r="AE241" i="1"/>
  <c r="AE243" i="1"/>
  <c r="AE244" i="1"/>
  <c r="AE246" i="1"/>
  <c r="AE247" i="1"/>
  <c r="AE249" i="1"/>
  <c r="AE251" i="1"/>
  <c r="AE252" i="1"/>
  <c r="AE253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80" i="1"/>
  <c r="AE282" i="1"/>
  <c r="AE283" i="1"/>
  <c r="AE284" i="1"/>
  <c r="AE285" i="1"/>
  <c r="AE287" i="1"/>
  <c r="AE288" i="1"/>
  <c r="AE289" i="1"/>
  <c r="AE291" i="1"/>
  <c r="AE292" i="1"/>
  <c r="AE293" i="1"/>
  <c r="AE295" i="1"/>
  <c r="AE297" i="1"/>
  <c r="AE299" i="1"/>
  <c r="AE301" i="1"/>
  <c r="AE303" i="1"/>
  <c r="AE305" i="1"/>
  <c r="AE308" i="1"/>
  <c r="AE309" i="1"/>
  <c r="AE312" i="1"/>
  <c r="AE314" i="1"/>
  <c r="AE317" i="1"/>
  <c r="AE321" i="1"/>
  <c r="AE325" i="1"/>
  <c r="AE326" i="1"/>
  <c r="AE330" i="1"/>
  <c r="AE331" i="1"/>
  <c r="AE335" i="1"/>
  <c r="AE337" i="1"/>
  <c r="AE340" i="1"/>
  <c r="AE341" i="1"/>
  <c r="AE343" i="1"/>
  <c r="AE345" i="1"/>
  <c r="AE348" i="1"/>
  <c r="AE350" i="1"/>
  <c r="AE352" i="1"/>
  <c r="AE354" i="1"/>
  <c r="AE356" i="1"/>
  <c r="AE360" i="1"/>
  <c r="AE363" i="1"/>
  <c r="AE365" i="1"/>
  <c r="AE368" i="1"/>
  <c r="AE371" i="1"/>
  <c r="AE373" i="1"/>
  <c r="AE375" i="1"/>
  <c r="AE378" i="1"/>
  <c r="AE380" i="1"/>
  <c r="AE383" i="1"/>
  <c r="AE386" i="1"/>
  <c r="AE388" i="1"/>
  <c r="AE390" i="1"/>
  <c r="AE392" i="1"/>
  <c r="AE394" i="1"/>
  <c r="AE396" i="1"/>
  <c r="AE399" i="1"/>
  <c r="AE401" i="1"/>
  <c r="AE404" i="1"/>
  <c r="AE408" i="1"/>
  <c r="AE411" i="1"/>
  <c r="AE412" i="1"/>
  <c r="AE415" i="1"/>
  <c r="AE417" i="1"/>
  <c r="AE420" i="1"/>
  <c r="AE422" i="1"/>
  <c r="AE425" i="1"/>
  <c r="AE427" i="1"/>
  <c r="AE430" i="1"/>
  <c r="AE433" i="1"/>
  <c r="AE437" i="1"/>
  <c r="AE438" i="1"/>
  <c r="AE441" i="1"/>
  <c r="AE443" i="1"/>
  <c r="AE446" i="1"/>
  <c r="AE450" i="1"/>
  <c r="AE452" i="1"/>
  <c r="AE454" i="1"/>
  <c r="AE458" i="1"/>
  <c r="AA230" i="1"/>
  <c r="AG230" i="1" s="1"/>
  <c r="AA460" i="1"/>
  <c r="AG460" i="1" s="1"/>
  <c r="AA462" i="1"/>
  <c r="AG462" i="1" s="1"/>
  <c r="AA463" i="1"/>
  <c r="AG463" i="1" s="1"/>
  <c r="AA464" i="1"/>
  <c r="AG464" i="1" s="1"/>
  <c r="AA465" i="1"/>
  <c r="AG465" i="1" s="1"/>
  <c r="AA469" i="1"/>
  <c r="AG469" i="1" s="1"/>
  <c r="AA470" i="1"/>
  <c r="AG470" i="1" s="1"/>
  <c r="AA471" i="1"/>
  <c r="AG471" i="1" s="1"/>
  <c r="AA473" i="1"/>
  <c r="AG473" i="1" s="1"/>
  <c r="AA474" i="1"/>
  <c r="AG474" i="1" s="1"/>
  <c r="AA475" i="1"/>
  <c r="AG475" i="1" s="1"/>
  <c r="AA476" i="1"/>
  <c r="AG476" i="1" s="1"/>
  <c r="AA477" i="1"/>
  <c r="AG477" i="1" s="1"/>
  <c r="AA478" i="1"/>
  <c r="AG478" i="1" s="1"/>
  <c r="AA479" i="1"/>
  <c r="AG479" i="1" s="1"/>
  <c r="AA480" i="1"/>
  <c r="AG480" i="1" s="1"/>
  <c r="AA481" i="1"/>
  <c r="AG481" i="1" s="1"/>
  <c r="AA482" i="1"/>
  <c r="AG482" i="1" s="1"/>
  <c r="AA485" i="1"/>
  <c r="AG485" i="1" s="1"/>
  <c r="AA486" i="1"/>
  <c r="AG486" i="1" s="1"/>
  <c r="AA487" i="1"/>
  <c r="AG487" i="1" s="1"/>
  <c r="AA489" i="1"/>
  <c r="AG489" i="1" s="1"/>
  <c r="AA491" i="1"/>
  <c r="AG491" i="1" s="1"/>
  <c r="AA495" i="1"/>
  <c r="AG495" i="1" s="1"/>
  <c r="AA496" i="1"/>
  <c r="AG496" i="1" s="1"/>
  <c r="AA497" i="1"/>
  <c r="AG497" i="1" s="1"/>
  <c r="AA498" i="1"/>
  <c r="AG498" i="1" s="1"/>
  <c r="AA499" i="1"/>
  <c r="AG499" i="1" s="1"/>
  <c r="AA504" i="1"/>
  <c r="AG504" i="1" s="1"/>
  <c r="AA507" i="1"/>
  <c r="AG507" i="1" s="1"/>
  <c r="AA508" i="1"/>
  <c r="AG508" i="1" s="1"/>
  <c r="AA509" i="1"/>
  <c r="AG509" i="1" s="1"/>
  <c r="AA513" i="1"/>
  <c r="AG513" i="1" s="1"/>
  <c r="AA517" i="1"/>
  <c r="AG517" i="1" s="1"/>
  <c r="AA518" i="1"/>
  <c r="AG518" i="1" s="1"/>
  <c r="AA519" i="1"/>
  <c r="AG519" i="1" s="1"/>
  <c r="AA520" i="1"/>
  <c r="AG520" i="1" s="1"/>
  <c r="AA521" i="1"/>
  <c r="AG521" i="1" s="1"/>
  <c r="AA522" i="1"/>
  <c r="AG522" i="1" s="1"/>
  <c r="AA523" i="1"/>
  <c r="AG523" i="1" s="1"/>
  <c r="AA524" i="1"/>
  <c r="AG524" i="1" s="1"/>
  <c r="AA525" i="1"/>
  <c r="AG525" i="1" s="1"/>
  <c r="AA526" i="1"/>
  <c r="AG526" i="1" s="1"/>
  <c r="AA527" i="1"/>
  <c r="AG527" i="1" s="1"/>
  <c r="AA528" i="1"/>
  <c r="AG528" i="1" s="1"/>
  <c r="AA529" i="1"/>
  <c r="AG529" i="1" s="1"/>
  <c r="AA530" i="1"/>
  <c r="AG530" i="1" s="1"/>
  <c r="AA531" i="1"/>
  <c r="AG531" i="1" s="1"/>
  <c r="AA537" i="1"/>
  <c r="AG537" i="1" s="1"/>
  <c r="AA538" i="1"/>
  <c r="AG538" i="1" s="1"/>
  <c r="AA539" i="1"/>
  <c r="AG539" i="1" s="1"/>
  <c r="AA540" i="1"/>
  <c r="AG540" i="1" s="1"/>
  <c r="AA541" i="1"/>
  <c r="AG541" i="1" s="1"/>
  <c r="AA542" i="1"/>
  <c r="AG542" i="1" s="1"/>
  <c r="AA543" i="1"/>
  <c r="AG543" i="1" s="1"/>
  <c r="AA544" i="1"/>
  <c r="AG544" i="1" s="1"/>
  <c r="AA545" i="1"/>
  <c r="AG545" i="1" s="1"/>
  <c r="AA547" i="1"/>
  <c r="AG547" i="1" s="1"/>
  <c r="AA548" i="1"/>
  <c r="AG548" i="1" s="1"/>
  <c r="AA549" i="1"/>
  <c r="AG549" i="1" s="1"/>
  <c r="AA550" i="1"/>
  <c r="AG550" i="1" s="1"/>
  <c r="AA551" i="1"/>
  <c r="AG551" i="1" s="1"/>
  <c r="AA552" i="1"/>
  <c r="AG552" i="1" s="1"/>
  <c r="AA553" i="1"/>
  <c r="AG553" i="1" s="1"/>
  <c r="AA561" i="1"/>
  <c r="AG561" i="1" s="1"/>
  <c r="AA562" i="1"/>
  <c r="AG562" i="1" s="1"/>
  <c r="AA563" i="1"/>
  <c r="AG563" i="1" s="1"/>
  <c r="AA564" i="1"/>
  <c r="AG564" i="1" s="1"/>
  <c r="AA565" i="1"/>
  <c r="AG565" i="1" s="1"/>
  <c r="AA566" i="1"/>
  <c r="AG566" i="1" s="1"/>
  <c r="AA567" i="1"/>
  <c r="AG567" i="1" s="1"/>
  <c r="AA568" i="1"/>
  <c r="AG568" i="1" s="1"/>
  <c r="AA569" i="1"/>
  <c r="AG569" i="1" s="1"/>
  <c r="AA570" i="1"/>
  <c r="AG570" i="1" s="1"/>
  <c r="AA571" i="1"/>
  <c r="AG571" i="1" s="1"/>
  <c r="AA572" i="1"/>
  <c r="AG572" i="1" s="1"/>
  <c r="AA573" i="1"/>
  <c r="AG573" i="1" s="1"/>
  <c r="AA574" i="1"/>
  <c r="AG574" i="1" s="1"/>
  <c r="AA575" i="1"/>
  <c r="AG575" i="1" s="1"/>
  <c r="AA577" i="1"/>
  <c r="AG577" i="1" s="1"/>
  <c r="AA579" i="1"/>
  <c r="AG579" i="1" s="1"/>
  <c r="AA580" i="1"/>
  <c r="AG580" i="1" s="1"/>
  <c r="AA581" i="1"/>
  <c r="AG581" i="1" s="1"/>
  <c r="AA582" i="1"/>
  <c r="AG582" i="1" s="1"/>
  <c r="AA583" i="1"/>
  <c r="AG583" i="1" s="1"/>
  <c r="AA584" i="1"/>
  <c r="AG584" i="1" s="1"/>
  <c r="AA585" i="1"/>
  <c r="AG585" i="1" s="1"/>
  <c r="AA586" i="1"/>
  <c r="AG586" i="1" s="1"/>
  <c r="AA587" i="1"/>
  <c r="AG587" i="1" s="1"/>
  <c r="AA588" i="1"/>
  <c r="AG588" i="1" s="1"/>
  <c r="AA589" i="1"/>
  <c r="AG589" i="1" s="1"/>
  <c r="AA591" i="1"/>
  <c r="AG591" i="1" s="1"/>
  <c r="AA592" i="1"/>
  <c r="AG592" i="1" s="1"/>
  <c r="AA593" i="1"/>
  <c r="AG593" i="1" s="1"/>
  <c r="AA594" i="1"/>
  <c r="AG594" i="1" s="1"/>
  <c r="AA595" i="1"/>
  <c r="AG595" i="1" s="1"/>
  <c r="AA596" i="1"/>
  <c r="AG596" i="1" s="1"/>
  <c r="AA597" i="1"/>
  <c r="AG597" i="1" s="1"/>
  <c r="AA605" i="1"/>
  <c r="AG605" i="1" s="1"/>
  <c r="AA606" i="1"/>
  <c r="AG606" i="1" s="1"/>
  <c r="AA607" i="1"/>
  <c r="AG607" i="1" s="1"/>
  <c r="AA608" i="1"/>
  <c r="AG608" i="1" s="1"/>
  <c r="AA609" i="1"/>
  <c r="AG609" i="1" s="1"/>
  <c r="AA613" i="1"/>
  <c r="AG613" i="1" s="1"/>
  <c r="AA614" i="1"/>
  <c r="AG614" i="1" s="1"/>
  <c r="AA617" i="1"/>
  <c r="AG617" i="1" s="1"/>
  <c r="AA618" i="1"/>
  <c r="AG618" i="1" s="1"/>
  <c r="AA619" i="1"/>
  <c r="AG619" i="1" s="1"/>
  <c r="AA621" i="1"/>
  <c r="AG621" i="1" s="1"/>
  <c r="AA622" i="1"/>
  <c r="AG622" i="1" s="1"/>
  <c r="AA623" i="1"/>
  <c r="AG623" i="1" s="1"/>
  <c r="AA624" i="1"/>
  <c r="AG624" i="1" s="1"/>
  <c r="AA625" i="1"/>
  <c r="AG625" i="1" s="1"/>
  <c r="AA626" i="1"/>
  <c r="AG626" i="1" s="1"/>
  <c r="AA627" i="1"/>
  <c r="AG627" i="1" s="1"/>
  <c r="AA628" i="1"/>
  <c r="AG628" i="1" s="1"/>
  <c r="AA629" i="1"/>
  <c r="AG629" i="1" s="1"/>
  <c r="AA630" i="1"/>
  <c r="AG630" i="1" s="1"/>
  <c r="AA631" i="1"/>
  <c r="AG631" i="1" s="1"/>
  <c r="AA632" i="1"/>
  <c r="AG632" i="1" s="1"/>
  <c r="AA633" i="1"/>
  <c r="AG633" i="1" s="1"/>
  <c r="AA635" i="1"/>
  <c r="AG635" i="1" s="1"/>
  <c r="AA636" i="1"/>
  <c r="AG636" i="1" s="1"/>
  <c r="AA637" i="1"/>
  <c r="AG637" i="1" s="1"/>
  <c r="AA638" i="1"/>
  <c r="AG638" i="1" s="1"/>
  <c r="AA639" i="1"/>
  <c r="AG639" i="1" s="1"/>
  <c r="AA640" i="1"/>
  <c r="AG640" i="1" s="1"/>
  <c r="AA641" i="1"/>
  <c r="AG641" i="1" s="1"/>
  <c r="AA647" i="1"/>
  <c r="AG647" i="1" s="1"/>
  <c r="AA648" i="1"/>
  <c r="AG648" i="1" s="1"/>
  <c r="AA649" i="1"/>
  <c r="AG649" i="1" s="1"/>
  <c r="AA650" i="1"/>
  <c r="AG650" i="1" s="1"/>
  <c r="AA651" i="1"/>
  <c r="AG651" i="1" s="1"/>
  <c r="AA652" i="1"/>
  <c r="AG652" i="1" s="1"/>
  <c r="AA653" i="1"/>
  <c r="AG653" i="1" s="1"/>
  <c r="AA656" i="1"/>
  <c r="AG656" i="1" s="1"/>
  <c r="AA657" i="1"/>
  <c r="AG657" i="1" s="1"/>
  <c r="AA658" i="1"/>
  <c r="AG658" i="1" s="1"/>
  <c r="AA659" i="1"/>
  <c r="AA661" i="1"/>
  <c r="AA662" i="1"/>
  <c r="AA663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9" i="1"/>
  <c r="AA680" i="1"/>
  <c r="AA681" i="1"/>
  <c r="AA682" i="1"/>
  <c r="AA683" i="1"/>
  <c r="AA684" i="1"/>
  <c r="AA685" i="1"/>
  <c r="AA689" i="1"/>
  <c r="AA690" i="1"/>
  <c r="AA691" i="1"/>
  <c r="AA693" i="1"/>
  <c r="AA694" i="1"/>
  <c r="AA695" i="1"/>
  <c r="AA696" i="1"/>
  <c r="AA698" i="1"/>
  <c r="AA699" i="1"/>
  <c r="AA701" i="1"/>
  <c r="AA702" i="1"/>
  <c r="AA705" i="1"/>
  <c r="AA706" i="1"/>
  <c r="AA707" i="1"/>
  <c r="AA708" i="1"/>
  <c r="AA709" i="1"/>
  <c r="AA710" i="1"/>
  <c r="AA711" i="1"/>
  <c r="AA712" i="1"/>
  <c r="AA713" i="1"/>
  <c r="AA715" i="1"/>
  <c r="AA716" i="1"/>
  <c r="AA717" i="1"/>
  <c r="AA718" i="1"/>
  <c r="AA719" i="1"/>
  <c r="AA724" i="1"/>
  <c r="AA725" i="1"/>
  <c r="AA726" i="1"/>
  <c r="AA727" i="1"/>
  <c r="AA728" i="1"/>
  <c r="AA729" i="1"/>
  <c r="AA733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9" i="1"/>
  <c r="AA760" i="1"/>
  <c r="AA761" i="1"/>
  <c r="AA762" i="1"/>
  <c r="AA763" i="1"/>
  <c r="AA764" i="1"/>
  <c r="AA765" i="1"/>
  <c r="AA768" i="1"/>
  <c r="AA770" i="1"/>
  <c r="AA771" i="1"/>
  <c r="AA772" i="1"/>
  <c r="AA773" i="1"/>
  <c r="AA779" i="1"/>
  <c r="AA780" i="1"/>
  <c r="AA781" i="1"/>
  <c r="AA782" i="1"/>
  <c r="AA783" i="1"/>
  <c r="AA784" i="1"/>
  <c r="AA785" i="1"/>
  <c r="AA786" i="1"/>
  <c r="AA790" i="1"/>
  <c r="AA791" i="1"/>
  <c r="AA792" i="1"/>
  <c r="AA793" i="1"/>
  <c r="AA794" i="1"/>
  <c r="AA795" i="1"/>
  <c r="AA797" i="1"/>
  <c r="AA798" i="1"/>
  <c r="Z231" i="1"/>
  <c r="AF231" i="1" s="1"/>
  <c r="Z232" i="1"/>
  <c r="AF232" i="1" s="1"/>
  <c r="Z233" i="1"/>
  <c r="AF233" i="1" s="1"/>
  <c r="Z234" i="1"/>
  <c r="AF234" i="1" s="1"/>
  <c r="Z235" i="1"/>
  <c r="AF235" i="1" s="1"/>
  <c r="Z236" i="1"/>
  <c r="AF236" i="1" s="1"/>
  <c r="Z237" i="1"/>
  <c r="AF237" i="1" s="1"/>
  <c r="Z238" i="1"/>
  <c r="AF238" i="1" s="1"/>
  <c r="Z239" i="1"/>
  <c r="AF239" i="1" s="1"/>
  <c r="Z240" i="1"/>
  <c r="AF240" i="1" s="1"/>
  <c r="Z241" i="1"/>
  <c r="AF241" i="1" s="1"/>
  <c r="Z242" i="1"/>
  <c r="AF242" i="1" s="1"/>
  <c r="Z243" i="1"/>
  <c r="AF243" i="1" s="1"/>
  <c r="Z244" i="1"/>
  <c r="AF244" i="1" s="1"/>
  <c r="Z245" i="1"/>
  <c r="AF245" i="1" s="1"/>
  <c r="Z246" i="1"/>
  <c r="AF246" i="1" s="1"/>
  <c r="Z247" i="1"/>
  <c r="AF247" i="1" s="1"/>
  <c r="Z248" i="1"/>
  <c r="AF248" i="1" s="1"/>
  <c r="Z249" i="1"/>
  <c r="AF249" i="1" s="1"/>
  <c r="Z250" i="1"/>
  <c r="AF250" i="1" s="1"/>
  <c r="Z251" i="1"/>
  <c r="AF251" i="1" s="1"/>
  <c r="Z252" i="1"/>
  <c r="AF252" i="1" s="1"/>
  <c r="Z253" i="1"/>
  <c r="AF253" i="1" s="1"/>
  <c r="Z254" i="1"/>
  <c r="AF254" i="1" s="1"/>
  <c r="Z255" i="1"/>
  <c r="AF255" i="1" s="1"/>
  <c r="Z256" i="1"/>
  <c r="AF256" i="1" s="1"/>
  <c r="Z257" i="1"/>
  <c r="AF257" i="1" s="1"/>
  <c r="Z258" i="1"/>
  <c r="AF258" i="1" s="1"/>
  <c r="Z259" i="1"/>
  <c r="AF259" i="1" s="1"/>
  <c r="Z260" i="1"/>
  <c r="AF260" i="1" s="1"/>
  <c r="Z261" i="1"/>
  <c r="AF261" i="1" s="1"/>
  <c r="Z262" i="1"/>
  <c r="AF262" i="1" s="1"/>
  <c r="Z263" i="1"/>
  <c r="AF263" i="1" s="1"/>
  <c r="Z264" i="1"/>
  <c r="AF264" i="1" s="1"/>
  <c r="Z265" i="1"/>
  <c r="AF265" i="1" s="1"/>
  <c r="Z266" i="1"/>
  <c r="AF266" i="1" s="1"/>
  <c r="Z267" i="1"/>
  <c r="AF267" i="1" s="1"/>
  <c r="Z268" i="1"/>
  <c r="AF268" i="1" s="1"/>
  <c r="Z269" i="1"/>
  <c r="AF269" i="1" s="1"/>
  <c r="Z270" i="1"/>
  <c r="AF270" i="1" s="1"/>
  <c r="Z271" i="1"/>
  <c r="AF271" i="1" s="1"/>
  <c r="Z272" i="1"/>
  <c r="AF272" i="1" s="1"/>
  <c r="Z273" i="1"/>
  <c r="AF273" i="1" s="1"/>
  <c r="Z274" i="1"/>
  <c r="AF274" i="1" s="1"/>
  <c r="Z275" i="1"/>
  <c r="AF275" i="1" s="1"/>
  <c r="Z276" i="1"/>
  <c r="AF276" i="1" s="1"/>
  <c r="Z277" i="1"/>
  <c r="AF277" i="1" s="1"/>
  <c r="Z278" i="1"/>
  <c r="AF278" i="1" s="1"/>
  <c r="Z279" i="1"/>
  <c r="AF279" i="1" s="1"/>
  <c r="Z280" i="1"/>
  <c r="AF280" i="1" s="1"/>
  <c r="Z281" i="1"/>
  <c r="AF281" i="1" s="1"/>
  <c r="Z282" i="1"/>
  <c r="AF282" i="1" s="1"/>
  <c r="Z283" i="1"/>
  <c r="AF283" i="1" s="1"/>
  <c r="Z284" i="1"/>
  <c r="AF284" i="1" s="1"/>
  <c r="Z285" i="1"/>
  <c r="AF285" i="1" s="1"/>
  <c r="Z286" i="1"/>
  <c r="AF286" i="1" s="1"/>
  <c r="Z287" i="1"/>
  <c r="AF287" i="1" s="1"/>
  <c r="Z288" i="1"/>
  <c r="AF288" i="1" s="1"/>
  <c r="Z289" i="1"/>
  <c r="AF289" i="1" s="1"/>
  <c r="Z290" i="1"/>
  <c r="AF290" i="1" s="1"/>
  <c r="Z291" i="1"/>
  <c r="AF291" i="1" s="1"/>
  <c r="Z292" i="1"/>
  <c r="AF292" i="1" s="1"/>
  <c r="Z293" i="1"/>
  <c r="AF293" i="1" s="1"/>
  <c r="Z294" i="1"/>
  <c r="AF294" i="1" s="1"/>
  <c r="Z295" i="1"/>
  <c r="AF295" i="1" s="1"/>
  <c r="Z296" i="1"/>
  <c r="AF296" i="1" s="1"/>
  <c r="Z297" i="1"/>
  <c r="AF297" i="1" s="1"/>
  <c r="Z298" i="1"/>
  <c r="AF298" i="1" s="1"/>
  <c r="Z299" i="1"/>
  <c r="AF299" i="1" s="1"/>
  <c r="Z300" i="1"/>
  <c r="AF300" i="1" s="1"/>
  <c r="Z301" i="1"/>
  <c r="AF301" i="1" s="1"/>
  <c r="Z302" i="1"/>
  <c r="AF302" i="1" s="1"/>
  <c r="Z303" i="1"/>
  <c r="AF303" i="1" s="1"/>
  <c r="Z304" i="1"/>
  <c r="AF304" i="1" s="1"/>
  <c r="Z305" i="1"/>
  <c r="AF305" i="1" s="1"/>
  <c r="Z306" i="1"/>
  <c r="AF306" i="1" s="1"/>
  <c r="Z307" i="1"/>
  <c r="AF307" i="1" s="1"/>
  <c r="Z308" i="1"/>
  <c r="AF308" i="1" s="1"/>
  <c r="Z309" i="1"/>
  <c r="AF309" i="1" s="1"/>
  <c r="Z310" i="1"/>
  <c r="AF310" i="1" s="1"/>
  <c r="Z311" i="1"/>
  <c r="AF311" i="1" s="1"/>
  <c r="Z312" i="1"/>
  <c r="AF312" i="1" s="1"/>
  <c r="Z313" i="1"/>
  <c r="AF313" i="1" s="1"/>
  <c r="Z314" i="1"/>
  <c r="AF314" i="1" s="1"/>
  <c r="Z315" i="1"/>
  <c r="AF315" i="1" s="1"/>
  <c r="Z316" i="1"/>
  <c r="AF316" i="1" s="1"/>
  <c r="Z317" i="1"/>
  <c r="AF317" i="1" s="1"/>
  <c r="Z318" i="1"/>
  <c r="AF318" i="1" s="1"/>
  <c r="Z319" i="1"/>
  <c r="AF319" i="1" s="1"/>
  <c r="Z320" i="1"/>
  <c r="AF320" i="1" s="1"/>
  <c r="Z321" i="1"/>
  <c r="AF321" i="1" s="1"/>
  <c r="Z322" i="1"/>
  <c r="AF322" i="1" s="1"/>
  <c r="Z323" i="1"/>
  <c r="AF323" i="1" s="1"/>
  <c r="Z324" i="1"/>
  <c r="AF324" i="1" s="1"/>
  <c r="Z325" i="1"/>
  <c r="AF325" i="1" s="1"/>
  <c r="Z326" i="1"/>
  <c r="AF326" i="1" s="1"/>
  <c r="Z327" i="1"/>
  <c r="AF327" i="1" s="1"/>
  <c r="Z328" i="1"/>
  <c r="AF328" i="1" s="1"/>
  <c r="Z329" i="1"/>
  <c r="AF329" i="1" s="1"/>
  <c r="Z330" i="1"/>
  <c r="AF330" i="1" s="1"/>
  <c r="Z331" i="1"/>
  <c r="AF331" i="1" s="1"/>
  <c r="Z332" i="1"/>
  <c r="AF332" i="1" s="1"/>
  <c r="Z333" i="1"/>
  <c r="AF333" i="1" s="1"/>
  <c r="Z334" i="1"/>
  <c r="AF334" i="1" s="1"/>
  <c r="Z335" i="1"/>
  <c r="AF335" i="1" s="1"/>
  <c r="Z336" i="1"/>
  <c r="AF336" i="1" s="1"/>
  <c r="Z337" i="1"/>
  <c r="AF337" i="1" s="1"/>
  <c r="Z338" i="1"/>
  <c r="AF338" i="1" s="1"/>
  <c r="Z339" i="1"/>
  <c r="AF339" i="1" s="1"/>
  <c r="Z340" i="1"/>
  <c r="AF340" i="1" s="1"/>
  <c r="Z341" i="1"/>
  <c r="AF341" i="1" s="1"/>
  <c r="Z342" i="1"/>
  <c r="AF342" i="1" s="1"/>
  <c r="Z343" i="1"/>
  <c r="AF343" i="1" s="1"/>
  <c r="Z344" i="1"/>
  <c r="AF344" i="1" s="1"/>
  <c r="Z345" i="1"/>
  <c r="AF345" i="1" s="1"/>
  <c r="Z346" i="1"/>
  <c r="AF346" i="1" s="1"/>
  <c r="Z347" i="1"/>
  <c r="AF347" i="1" s="1"/>
  <c r="Z348" i="1"/>
  <c r="AF348" i="1" s="1"/>
  <c r="Z349" i="1"/>
  <c r="AF349" i="1" s="1"/>
  <c r="Z350" i="1"/>
  <c r="AF350" i="1" s="1"/>
  <c r="Z351" i="1"/>
  <c r="AF351" i="1" s="1"/>
  <c r="Z352" i="1"/>
  <c r="AF352" i="1" s="1"/>
  <c r="Z353" i="1"/>
  <c r="AF353" i="1" s="1"/>
  <c r="Z354" i="1"/>
  <c r="AF354" i="1" s="1"/>
  <c r="Z355" i="1"/>
  <c r="AF355" i="1" s="1"/>
  <c r="Z356" i="1"/>
  <c r="AF356" i="1" s="1"/>
  <c r="Z357" i="1"/>
  <c r="AF357" i="1" s="1"/>
  <c r="Z358" i="1"/>
  <c r="AF358" i="1" s="1"/>
  <c r="Z359" i="1"/>
  <c r="AF359" i="1" s="1"/>
  <c r="Z360" i="1"/>
  <c r="AF360" i="1" s="1"/>
  <c r="Z361" i="1"/>
  <c r="AF361" i="1" s="1"/>
  <c r="Z362" i="1"/>
  <c r="AF362" i="1" s="1"/>
  <c r="Z363" i="1"/>
  <c r="AF363" i="1" s="1"/>
  <c r="Z364" i="1"/>
  <c r="AF364" i="1" s="1"/>
  <c r="Z365" i="1"/>
  <c r="AF365" i="1" s="1"/>
  <c r="Z366" i="1"/>
  <c r="AF366" i="1" s="1"/>
  <c r="Z367" i="1"/>
  <c r="AF367" i="1" s="1"/>
  <c r="Z368" i="1"/>
  <c r="AF368" i="1" s="1"/>
  <c r="Z369" i="1"/>
  <c r="AF369" i="1" s="1"/>
  <c r="Z370" i="1"/>
  <c r="AF370" i="1" s="1"/>
  <c r="Z371" i="1"/>
  <c r="AF371" i="1" s="1"/>
  <c r="Z372" i="1"/>
  <c r="AF372" i="1" s="1"/>
  <c r="Z373" i="1"/>
  <c r="AF373" i="1" s="1"/>
  <c r="Z374" i="1"/>
  <c r="AF374" i="1" s="1"/>
  <c r="Z375" i="1"/>
  <c r="AF375" i="1" s="1"/>
  <c r="Z376" i="1"/>
  <c r="AF376" i="1" s="1"/>
  <c r="Z377" i="1"/>
  <c r="AF377" i="1" s="1"/>
  <c r="Z378" i="1"/>
  <c r="AF378" i="1" s="1"/>
  <c r="Z379" i="1"/>
  <c r="AF379" i="1" s="1"/>
  <c r="Z380" i="1"/>
  <c r="AF380" i="1" s="1"/>
  <c r="Z381" i="1"/>
  <c r="AF381" i="1" s="1"/>
  <c r="Z382" i="1"/>
  <c r="AF382" i="1" s="1"/>
  <c r="Z383" i="1"/>
  <c r="AF383" i="1" s="1"/>
  <c r="Z384" i="1"/>
  <c r="AF384" i="1" s="1"/>
  <c r="Z385" i="1"/>
  <c r="AF385" i="1" s="1"/>
  <c r="Z386" i="1"/>
  <c r="AF386" i="1" s="1"/>
  <c r="Z387" i="1"/>
  <c r="AF387" i="1" s="1"/>
  <c r="Z388" i="1"/>
  <c r="AF388" i="1" s="1"/>
  <c r="Z389" i="1"/>
  <c r="AF389" i="1" s="1"/>
  <c r="Z390" i="1"/>
  <c r="AF390" i="1" s="1"/>
  <c r="Z391" i="1"/>
  <c r="AF391" i="1" s="1"/>
  <c r="Z392" i="1"/>
  <c r="AF392" i="1" s="1"/>
  <c r="Z393" i="1"/>
  <c r="AF393" i="1" s="1"/>
  <c r="Z394" i="1"/>
  <c r="AF394" i="1" s="1"/>
  <c r="Z395" i="1"/>
  <c r="AF395" i="1" s="1"/>
  <c r="Z396" i="1"/>
  <c r="AF396" i="1" s="1"/>
  <c r="Z397" i="1"/>
  <c r="AF397" i="1" s="1"/>
  <c r="Z398" i="1"/>
  <c r="AF398" i="1" s="1"/>
  <c r="Z399" i="1"/>
  <c r="AF399" i="1" s="1"/>
  <c r="Z400" i="1"/>
  <c r="AF400" i="1" s="1"/>
  <c r="Z401" i="1"/>
  <c r="AF401" i="1" s="1"/>
  <c r="Z402" i="1"/>
  <c r="AF402" i="1" s="1"/>
  <c r="Z403" i="1"/>
  <c r="AF403" i="1" s="1"/>
  <c r="Z404" i="1"/>
  <c r="AF404" i="1" s="1"/>
  <c r="Z405" i="1"/>
  <c r="AF405" i="1" s="1"/>
  <c r="Z406" i="1"/>
  <c r="AF406" i="1" s="1"/>
  <c r="Z407" i="1"/>
  <c r="AF407" i="1" s="1"/>
  <c r="Z408" i="1"/>
  <c r="AF408" i="1" s="1"/>
  <c r="Z409" i="1"/>
  <c r="AF409" i="1" s="1"/>
  <c r="Z410" i="1"/>
  <c r="AF410" i="1" s="1"/>
  <c r="Z411" i="1"/>
  <c r="AF411" i="1" s="1"/>
  <c r="Z412" i="1"/>
  <c r="AF412" i="1" s="1"/>
  <c r="Z413" i="1"/>
  <c r="AF413" i="1" s="1"/>
  <c r="Z414" i="1"/>
  <c r="AF414" i="1" s="1"/>
  <c r="Z415" i="1"/>
  <c r="AF415" i="1" s="1"/>
  <c r="Z416" i="1"/>
  <c r="AF416" i="1" s="1"/>
  <c r="Z417" i="1"/>
  <c r="AF417" i="1" s="1"/>
  <c r="Z418" i="1"/>
  <c r="AF418" i="1" s="1"/>
  <c r="Z419" i="1"/>
  <c r="AF419" i="1" s="1"/>
  <c r="Z420" i="1"/>
  <c r="AF420" i="1" s="1"/>
  <c r="Z421" i="1"/>
  <c r="AF421" i="1" s="1"/>
  <c r="Z422" i="1"/>
  <c r="AF422" i="1" s="1"/>
  <c r="Z423" i="1"/>
  <c r="AF423" i="1" s="1"/>
  <c r="Z424" i="1"/>
  <c r="AF424" i="1" s="1"/>
  <c r="Z425" i="1"/>
  <c r="AF425" i="1" s="1"/>
  <c r="Z426" i="1"/>
  <c r="AF426" i="1" s="1"/>
  <c r="Z427" i="1"/>
  <c r="AF427" i="1" s="1"/>
  <c r="Z428" i="1"/>
  <c r="AF428" i="1" s="1"/>
  <c r="Z429" i="1"/>
  <c r="AF429" i="1" s="1"/>
  <c r="Z430" i="1"/>
  <c r="AF430" i="1" s="1"/>
  <c r="Z431" i="1"/>
  <c r="AF431" i="1" s="1"/>
  <c r="Z432" i="1"/>
  <c r="AF432" i="1" s="1"/>
  <c r="Z433" i="1"/>
  <c r="AF433" i="1" s="1"/>
  <c r="Z434" i="1"/>
  <c r="AF434" i="1" s="1"/>
  <c r="Z435" i="1"/>
  <c r="AF435" i="1" s="1"/>
  <c r="Z436" i="1"/>
  <c r="AF436" i="1" s="1"/>
  <c r="Z437" i="1"/>
  <c r="AF437" i="1" s="1"/>
  <c r="Z438" i="1"/>
  <c r="AF438" i="1" s="1"/>
  <c r="Z439" i="1"/>
  <c r="AF439" i="1" s="1"/>
  <c r="Z440" i="1"/>
  <c r="AF440" i="1" s="1"/>
  <c r="Z441" i="1"/>
  <c r="AF441" i="1" s="1"/>
  <c r="Z442" i="1"/>
  <c r="AF442" i="1" s="1"/>
  <c r="Z443" i="1"/>
  <c r="AF443" i="1" s="1"/>
  <c r="Z444" i="1"/>
  <c r="AF444" i="1" s="1"/>
  <c r="Z445" i="1"/>
  <c r="AF445" i="1" s="1"/>
  <c r="Z446" i="1"/>
  <c r="AF446" i="1" s="1"/>
  <c r="Z447" i="1"/>
  <c r="AF447" i="1" s="1"/>
  <c r="Z448" i="1"/>
  <c r="AF448" i="1" s="1"/>
  <c r="Z449" i="1"/>
  <c r="AF449" i="1" s="1"/>
  <c r="Z450" i="1"/>
  <c r="AF450" i="1" s="1"/>
  <c r="Z451" i="1"/>
  <c r="AF451" i="1" s="1"/>
  <c r="Z452" i="1"/>
  <c r="AF452" i="1" s="1"/>
  <c r="Z453" i="1"/>
  <c r="AF453" i="1" s="1"/>
  <c r="Z454" i="1"/>
  <c r="AF454" i="1" s="1"/>
  <c r="Z455" i="1"/>
  <c r="AF455" i="1" s="1"/>
  <c r="Z456" i="1"/>
  <c r="AF456" i="1" s="1"/>
  <c r="Z457" i="1"/>
  <c r="AF457" i="1" s="1"/>
  <c r="Z458" i="1"/>
  <c r="AF458" i="1" s="1"/>
  <c r="AA801" i="1"/>
  <c r="AA803" i="1"/>
  <c r="AA804" i="1"/>
  <c r="AA805" i="1"/>
  <c r="AA806" i="1"/>
  <c r="AA807" i="1"/>
  <c r="AA808" i="1"/>
  <c r="AA809" i="1"/>
  <c r="AA811" i="1"/>
  <c r="AA812" i="1"/>
  <c r="AA815" i="1"/>
  <c r="AA816" i="1"/>
  <c r="AA817" i="1"/>
  <c r="AA821" i="1"/>
  <c r="AA822" i="1"/>
  <c r="AA823" i="1"/>
  <c r="AA824" i="1"/>
  <c r="AA825" i="1"/>
  <c r="AA826" i="1"/>
  <c r="AA827" i="1"/>
  <c r="AA828" i="1"/>
  <c r="AA829" i="1"/>
  <c r="AA832" i="1"/>
  <c r="AA833" i="1"/>
  <c r="AA834" i="1"/>
  <c r="AA835" i="1"/>
  <c r="AA837" i="1"/>
  <c r="AA838" i="1"/>
  <c r="AA839" i="1"/>
  <c r="AA840" i="1"/>
  <c r="AA841" i="1"/>
  <c r="AA843" i="1"/>
  <c r="AA847" i="1"/>
  <c r="AA848" i="1"/>
  <c r="AA849" i="1"/>
  <c r="AA850" i="1"/>
  <c r="AA851" i="1"/>
  <c r="AA852" i="1"/>
  <c r="AA853" i="1"/>
  <c r="AA854" i="1"/>
  <c r="AA856" i="1"/>
  <c r="AA857" i="1"/>
  <c r="AA858" i="1"/>
  <c r="AA859" i="1"/>
  <c r="AA860" i="1"/>
  <c r="AA861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9" i="1"/>
  <c r="AG889" i="1" s="1"/>
  <c r="AA890" i="1"/>
  <c r="AG890" i="1" s="1"/>
  <c r="AA891" i="1"/>
  <c r="AG891" i="1" s="1"/>
  <c r="AA892" i="1"/>
  <c r="AA893" i="1"/>
  <c r="AA894" i="1"/>
  <c r="AA895" i="1"/>
  <c r="AA896" i="1"/>
  <c r="AA900" i="1"/>
  <c r="AA901" i="1"/>
  <c r="AA902" i="1"/>
  <c r="AA903" i="1"/>
  <c r="AA904" i="1"/>
  <c r="AA905" i="1"/>
  <c r="AA906" i="1"/>
  <c r="AG906" i="1" s="1"/>
  <c r="AA910" i="1"/>
  <c r="AA911" i="1"/>
  <c r="AA912" i="1"/>
  <c r="AA913" i="1"/>
  <c r="Z3" i="1"/>
  <c r="AF3" i="1" s="1"/>
  <c r="Z4" i="1"/>
  <c r="AF4" i="1" s="1"/>
  <c r="Z5" i="1"/>
  <c r="AF5" i="1" s="1"/>
  <c r="Z6" i="1"/>
  <c r="AF6" i="1" s="1"/>
  <c r="Z7" i="1"/>
  <c r="AF7" i="1" s="1"/>
  <c r="Z8" i="1"/>
  <c r="AF8" i="1" s="1"/>
  <c r="Z9" i="1"/>
  <c r="AF9" i="1" s="1"/>
  <c r="Z10" i="1"/>
  <c r="AF10" i="1" s="1"/>
  <c r="Z11" i="1"/>
  <c r="AF11" i="1" s="1"/>
  <c r="Z12" i="1"/>
  <c r="AF12" i="1" s="1"/>
  <c r="Z13" i="1"/>
  <c r="AF13" i="1" s="1"/>
  <c r="Z14" i="1"/>
  <c r="AF14" i="1" s="1"/>
  <c r="Z15" i="1"/>
  <c r="AF15" i="1" s="1"/>
  <c r="Z16" i="1"/>
  <c r="AF16" i="1" s="1"/>
  <c r="Z17" i="1"/>
  <c r="AF17" i="1" s="1"/>
  <c r="Z18" i="1"/>
  <c r="AF18" i="1" s="1"/>
  <c r="Z19" i="1"/>
  <c r="AF19" i="1" s="1"/>
  <c r="Z20" i="1"/>
  <c r="AF20" i="1" s="1"/>
  <c r="Z21" i="1"/>
  <c r="AF21" i="1" s="1"/>
  <c r="Z22" i="1"/>
  <c r="AF22" i="1" s="1"/>
  <c r="Z23" i="1"/>
  <c r="AF23" i="1" s="1"/>
  <c r="Z24" i="1"/>
  <c r="AF24" i="1" s="1"/>
  <c r="Z25" i="1"/>
  <c r="AF25" i="1" s="1"/>
  <c r="Z26" i="1"/>
  <c r="AF26" i="1" s="1"/>
  <c r="Z27" i="1"/>
  <c r="AF27" i="1" s="1"/>
  <c r="Z28" i="1"/>
  <c r="AF28" i="1" s="1"/>
  <c r="Z29" i="1"/>
  <c r="AF29" i="1" s="1"/>
  <c r="Z30" i="1"/>
  <c r="AF30" i="1" s="1"/>
  <c r="Z31" i="1"/>
  <c r="AF31" i="1" s="1"/>
  <c r="Z32" i="1"/>
  <c r="AF32" i="1" s="1"/>
  <c r="Z33" i="1"/>
  <c r="AF33" i="1" s="1"/>
  <c r="Z34" i="1"/>
  <c r="AF34" i="1" s="1"/>
  <c r="Z35" i="1"/>
  <c r="AF35" i="1" s="1"/>
  <c r="Z36" i="1"/>
  <c r="AF36" i="1" s="1"/>
  <c r="Z37" i="1"/>
  <c r="AF37" i="1" s="1"/>
  <c r="Z38" i="1"/>
  <c r="AF38" i="1" s="1"/>
  <c r="Z39" i="1"/>
  <c r="AF39" i="1" s="1"/>
  <c r="Z40" i="1"/>
  <c r="AF40" i="1" s="1"/>
  <c r="Z41" i="1"/>
  <c r="AF41" i="1" s="1"/>
  <c r="Z42" i="1"/>
  <c r="AF42" i="1" s="1"/>
  <c r="Z43" i="1"/>
  <c r="AF43" i="1" s="1"/>
  <c r="Z44" i="1"/>
  <c r="AF44" i="1" s="1"/>
  <c r="Z45" i="1"/>
  <c r="AF45" i="1" s="1"/>
  <c r="Z46" i="1"/>
  <c r="AF46" i="1" s="1"/>
  <c r="Z47" i="1"/>
  <c r="AF47" i="1" s="1"/>
  <c r="Z48" i="1"/>
  <c r="AF48" i="1" s="1"/>
  <c r="Z49" i="1"/>
  <c r="AF49" i="1" s="1"/>
  <c r="Z50" i="1"/>
  <c r="AF50" i="1" s="1"/>
  <c r="Z51" i="1"/>
  <c r="AF51" i="1" s="1"/>
  <c r="Z52" i="1"/>
  <c r="AF52" i="1" s="1"/>
  <c r="Z53" i="1"/>
  <c r="AF53" i="1" s="1"/>
  <c r="Z54" i="1"/>
  <c r="AF54" i="1" s="1"/>
  <c r="Z55" i="1"/>
  <c r="AF55" i="1" s="1"/>
  <c r="Z56" i="1"/>
  <c r="AF56" i="1" s="1"/>
  <c r="Z57" i="1"/>
  <c r="AF57" i="1" s="1"/>
  <c r="Z58" i="1"/>
  <c r="AF58" i="1" s="1"/>
  <c r="Z59" i="1"/>
  <c r="AF59" i="1" s="1"/>
  <c r="Z60" i="1"/>
  <c r="AF60" i="1" s="1"/>
  <c r="Z61" i="1"/>
  <c r="AF61" i="1" s="1"/>
  <c r="Z62" i="1"/>
  <c r="AF62" i="1" s="1"/>
  <c r="Z63" i="1"/>
  <c r="AF63" i="1" s="1"/>
  <c r="Z64" i="1"/>
  <c r="AF64" i="1" s="1"/>
  <c r="Z65" i="1"/>
  <c r="AF65" i="1" s="1"/>
  <c r="Z66" i="1"/>
  <c r="AF66" i="1" s="1"/>
  <c r="Z67" i="1"/>
  <c r="AF67" i="1" s="1"/>
  <c r="Z68" i="1"/>
  <c r="AF68" i="1" s="1"/>
  <c r="Z69" i="1"/>
  <c r="AF69" i="1" s="1"/>
  <c r="Z70" i="1"/>
  <c r="AF70" i="1" s="1"/>
  <c r="Z71" i="1"/>
  <c r="AF71" i="1" s="1"/>
  <c r="Z72" i="1"/>
  <c r="AF72" i="1" s="1"/>
  <c r="Z73" i="1"/>
  <c r="AF73" i="1" s="1"/>
  <c r="Z74" i="1"/>
  <c r="AF74" i="1" s="1"/>
  <c r="Z75" i="1"/>
  <c r="AF75" i="1" s="1"/>
  <c r="Z76" i="1"/>
  <c r="AF76" i="1" s="1"/>
  <c r="Z77" i="1"/>
  <c r="AF77" i="1" s="1"/>
  <c r="Z78" i="1"/>
  <c r="AF78" i="1" s="1"/>
  <c r="Z79" i="1"/>
  <c r="AF79" i="1" s="1"/>
  <c r="Z80" i="1"/>
  <c r="AF80" i="1" s="1"/>
  <c r="Z81" i="1"/>
  <c r="AF81" i="1" s="1"/>
  <c r="Z82" i="1"/>
  <c r="AF82" i="1" s="1"/>
  <c r="Z83" i="1"/>
  <c r="AF83" i="1" s="1"/>
  <c r="Z84" i="1"/>
  <c r="AF84" i="1" s="1"/>
  <c r="Z85" i="1"/>
  <c r="AF85" i="1" s="1"/>
  <c r="Z86" i="1"/>
  <c r="AF86" i="1" s="1"/>
  <c r="Z87" i="1"/>
  <c r="AF87" i="1" s="1"/>
  <c r="Z88" i="1"/>
  <c r="AF88" i="1" s="1"/>
  <c r="Z89" i="1"/>
  <c r="AF89" i="1" s="1"/>
  <c r="Z90" i="1"/>
  <c r="AF90" i="1" s="1"/>
  <c r="Z91" i="1"/>
  <c r="AF91" i="1" s="1"/>
  <c r="Z92" i="1"/>
  <c r="AF92" i="1" s="1"/>
  <c r="Z93" i="1"/>
  <c r="AF93" i="1" s="1"/>
  <c r="Z94" i="1"/>
  <c r="AF94" i="1" s="1"/>
  <c r="Z95" i="1"/>
  <c r="AF95" i="1" s="1"/>
  <c r="Z96" i="1"/>
  <c r="AF96" i="1" s="1"/>
  <c r="Z97" i="1"/>
  <c r="AF97" i="1" s="1"/>
  <c r="Z98" i="1"/>
  <c r="AF98" i="1" s="1"/>
  <c r="Z99" i="1"/>
  <c r="AF99" i="1" s="1"/>
  <c r="Z100" i="1"/>
  <c r="AF100" i="1" s="1"/>
  <c r="Z101" i="1"/>
  <c r="AF101" i="1" s="1"/>
  <c r="Z102" i="1"/>
  <c r="AF102" i="1" s="1"/>
  <c r="Z103" i="1"/>
  <c r="AF103" i="1" s="1"/>
  <c r="Z104" i="1"/>
  <c r="AF104" i="1" s="1"/>
  <c r="Z105" i="1"/>
  <c r="AF105" i="1" s="1"/>
  <c r="Z106" i="1"/>
  <c r="AF106" i="1" s="1"/>
  <c r="Z107" i="1"/>
  <c r="AF107" i="1" s="1"/>
  <c r="Z108" i="1"/>
  <c r="AF108" i="1" s="1"/>
  <c r="Z109" i="1"/>
  <c r="AF109" i="1" s="1"/>
  <c r="Z110" i="1"/>
  <c r="AF110" i="1" s="1"/>
  <c r="Z111" i="1"/>
  <c r="AF111" i="1" s="1"/>
  <c r="Z112" i="1"/>
  <c r="AF112" i="1" s="1"/>
  <c r="Z113" i="1"/>
  <c r="AF113" i="1" s="1"/>
  <c r="Z114" i="1"/>
  <c r="AF114" i="1" s="1"/>
  <c r="Z115" i="1"/>
  <c r="AF115" i="1" s="1"/>
  <c r="Z116" i="1"/>
  <c r="AF116" i="1" s="1"/>
  <c r="Z117" i="1"/>
  <c r="AF117" i="1" s="1"/>
  <c r="Z118" i="1"/>
  <c r="AF118" i="1" s="1"/>
  <c r="Z119" i="1"/>
  <c r="AF119" i="1" s="1"/>
  <c r="Z120" i="1"/>
  <c r="AF120" i="1" s="1"/>
  <c r="Z121" i="1"/>
  <c r="AF121" i="1" s="1"/>
  <c r="Z122" i="1"/>
  <c r="AF122" i="1" s="1"/>
  <c r="Z123" i="1"/>
  <c r="AF123" i="1" s="1"/>
  <c r="Z124" i="1"/>
  <c r="AF124" i="1" s="1"/>
  <c r="Z125" i="1"/>
  <c r="AF125" i="1" s="1"/>
  <c r="Z126" i="1"/>
  <c r="AF126" i="1" s="1"/>
  <c r="Z127" i="1"/>
  <c r="AF127" i="1" s="1"/>
  <c r="Z128" i="1"/>
  <c r="AF128" i="1" s="1"/>
  <c r="Z129" i="1"/>
  <c r="AF129" i="1" s="1"/>
  <c r="Z130" i="1"/>
  <c r="AF130" i="1" s="1"/>
  <c r="Z131" i="1"/>
  <c r="AF131" i="1" s="1"/>
  <c r="Z132" i="1"/>
  <c r="AF132" i="1" s="1"/>
  <c r="Z133" i="1"/>
  <c r="AF133" i="1" s="1"/>
  <c r="Z134" i="1"/>
  <c r="AF134" i="1" s="1"/>
  <c r="Z135" i="1"/>
  <c r="AF135" i="1" s="1"/>
  <c r="Z136" i="1"/>
  <c r="AF136" i="1" s="1"/>
  <c r="Z137" i="1"/>
  <c r="AF137" i="1" s="1"/>
  <c r="Z138" i="1"/>
  <c r="AF138" i="1" s="1"/>
  <c r="Z139" i="1"/>
  <c r="AF139" i="1" s="1"/>
  <c r="Z140" i="1"/>
  <c r="AF140" i="1" s="1"/>
  <c r="Z141" i="1"/>
  <c r="AF141" i="1" s="1"/>
  <c r="Z142" i="1"/>
  <c r="AF142" i="1" s="1"/>
  <c r="Z143" i="1"/>
  <c r="AF143" i="1" s="1"/>
  <c r="Z144" i="1"/>
  <c r="AF144" i="1" s="1"/>
  <c r="Z145" i="1"/>
  <c r="AF145" i="1" s="1"/>
  <c r="Z146" i="1"/>
  <c r="AF146" i="1" s="1"/>
  <c r="Z147" i="1"/>
  <c r="AF147" i="1" s="1"/>
  <c r="Z148" i="1"/>
  <c r="AF148" i="1" s="1"/>
  <c r="Z149" i="1"/>
  <c r="AF149" i="1" s="1"/>
  <c r="Z150" i="1"/>
  <c r="AF150" i="1" s="1"/>
  <c r="Z151" i="1"/>
  <c r="AF151" i="1" s="1"/>
  <c r="Z152" i="1"/>
  <c r="AF152" i="1" s="1"/>
  <c r="Z153" i="1"/>
  <c r="AF153" i="1" s="1"/>
  <c r="Z154" i="1"/>
  <c r="AF154" i="1" s="1"/>
  <c r="Z155" i="1"/>
  <c r="AF155" i="1" s="1"/>
  <c r="Z156" i="1"/>
  <c r="AF156" i="1" s="1"/>
  <c r="Z157" i="1"/>
  <c r="AF157" i="1" s="1"/>
  <c r="Z158" i="1"/>
  <c r="AF158" i="1" s="1"/>
  <c r="Z159" i="1"/>
  <c r="AF159" i="1" s="1"/>
  <c r="Z160" i="1"/>
  <c r="AF160" i="1" s="1"/>
  <c r="Z161" i="1"/>
  <c r="AF161" i="1" s="1"/>
  <c r="Z162" i="1"/>
  <c r="AF162" i="1" s="1"/>
  <c r="Z163" i="1"/>
  <c r="AF163" i="1" s="1"/>
  <c r="Z164" i="1"/>
  <c r="AF164" i="1" s="1"/>
  <c r="Z165" i="1"/>
  <c r="AF165" i="1" s="1"/>
  <c r="Z166" i="1"/>
  <c r="AF166" i="1" s="1"/>
  <c r="Z167" i="1"/>
  <c r="AF167" i="1" s="1"/>
  <c r="Z168" i="1"/>
  <c r="AF168" i="1" s="1"/>
  <c r="Z169" i="1"/>
  <c r="AF169" i="1" s="1"/>
  <c r="Z170" i="1"/>
  <c r="AF170" i="1" s="1"/>
  <c r="Z171" i="1"/>
  <c r="AF171" i="1" s="1"/>
  <c r="Z172" i="1"/>
  <c r="AF172" i="1" s="1"/>
  <c r="Z173" i="1"/>
  <c r="AF173" i="1" s="1"/>
  <c r="Z174" i="1"/>
  <c r="AF174" i="1" s="1"/>
  <c r="Z175" i="1"/>
  <c r="AF175" i="1" s="1"/>
  <c r="Z176" i="1"/>
  <c r="AF176" i="1" s="1"/>
  <c r="Z177" i="1"/>
  <c r="AF177" i="1" s="1"/>
  <c r="Z178" i="1"/>
  <c r="AF178" i="1" s="1"/>
  <c r="Z179" i="1"/>
  <c r="AF179" i="1" s="1"/>
  <c r="Z180" i="1"/>
  <c r="AF180" i="1" s="1"/>
  <c r="Z181" i="1"/>
  <c r="AF181" i="1" s="1"/>
  <c r="Z182" i="1"/>
  <c r="AF182" i="1" s="1"/>
  <c r="Z183" i="1"/>
  <c r="AF183" i="1" s="1"/>
  <c r="Z184" i="1"/>
  <c r="AF184" i="1" s="1"/>
  <c r="Z185" i="1"/>
  <c r="AF185" i="1" s="1"/>
  <c r="Z186" i="1"/>
  <c r="AF186" i="1" s="1"/>
  <c r="Z187" i="1"/>
  <c r="AF187" i="1" s="1"/>
  <c r="Z188" i="1"/>
  <c r="AF188" i="1" s="1"/>
  <c r="Z189" i="1"/>
  <c r="AF189" i="1" s="1"/>
  <c r="Z190" i="1"/>
  <c r="AF190" i="1" s="1"/>
  <c r="Z191" i="1"/>
  <c r="AF191" i="1" s="1"/>
  <c r="Z192" i="1"/>
  <c r="AF192" i="1" s="1"/>
  <c r="Z193" i="1"/>
  <c r="AF193" i="1" s="1"/>
  <c r="Z194" i="1"/>
  <c r="AF194" i="1" s="1"/>
  <c r="Z195" i="1"/>
  <c r="AF195" i="1" s="1"/>
  <c r="Z196" i="1"/>
  <c r="AF196" i="1" s="1"/>
  <c r="Z197" i="1"/>
  <c r="AF197" i="1" s="1"/>
  <c r="Z198" i="1"/>
  <c r="AF198" i="1" s="1"/>
  <c r="Z199" i="1"/>
  <c r="AF199" i="1" s="1"/>
  <c r="Z200" i="1"/>
  <c r="AF200" i="1" s="1"/>
  <c r="Z201" i="1"/>
  <c r="AF201" i="1" s="1"/>
  <c r="Z202" i="1"/>
  <c r="AF202" i="1" s="1"/>
  <c r="Z203" i="1"/>
  <c r="AF203" i="1" s="1"/>
  <c r="Z204" i="1"/>
  <c r="AF204" i="1" s="1"/>
  <c r="Z205" i="1"/>
  <c r="AF205" i="1" s="1"/>
  <c r="Z206" i="1"/>
  <c r="AF206" i="1" s="1"/>
  <c r="Z207" i="1"/>
  <c r="AF207" i="1" s="1"/>
  <c r="Z208" i="1"/>
  <c r="AF208" i="1" s="1"/>
  <c r="Z209" i="1"/>
  <c r="AF209" i="1" s="1"/>
  <c r="Z210" i="1"/>
  <c r="AF210" i="1" s="1"/>
  <c r="Z211" i="1"/>
  <c r="AF211" i="1" s="1"/>
  <c r="Z212" i="1"/>
  <c r="AF212" i="1" s="1"/>
  <c r="Z213" i="1"/>
  <c r="AF213" i="1" s="1"/>
  <c r="Z214" i="1"/>
  <c r="AF214" i="1" s="1"/>
  <c r="Z215" i="1"/>
  <c r="AF215" i="1" s="1"/>
  <c r="Z216" i="1"/>
  <c r="AF216" i="1" s="1"/>
  <c r="Z217" i="1"/>
  <c r="AF217" i="1" s="1"/>
  <c r="Z218" i="1"/>
  <c r="AF218" i="1" s="1"/>
  <c r="Z219" i="1"/>
  <c r="AF219" i="1" s="1"/>
  <c r="Z220" i="1"/>
  <c r="AF220" i="1" s="1"/>
  <c r="Z221" i="1"/>
  <c r="AF221" i="1" s="1"/>
  <c r="Z222" i="1"/>
  <c r="AF222" i="1" s="1"/>
  <c r="Z223" i="1"/>
  <c r="AF223" i="1" s="1"/>
  <c r="Z224" i="1"/>
  <c r="AF224" i="1" s="1"/>
  <c r="Z225" i="1"/>
  <c r="AF225" i="1" s="1"/>
  <c r="Z226" i="1"/>
  <c r="AF226" i="1" s="1"/>
  <c r="Z227" i="1"/>
  <c r="AF227" i="1" s="1"/>
  <c r="Z228" i="1"/>
  <c r="AF228" i="1" s="1"/>
  <c r="Z229" i="1"/>
  <c r="AF229" i="1" s="1"/>
  <c r="AE7" i="1"/>
  <c r="AE6" i="1"/>
  <c r="AE4" i="1"/>
  <c r="AE66" i="1"/>
  <c r="AE82" i="1"/>
  <c r="AE84" i="1"/>
  <c r="AE87" i="1"/>
  <c r="AE90" i="1"/>
  <c r="AE94" i="1"/>
  <c r="AE96" i="1"/>
  <c r="AE98" i="1"/>
  <c r="AE100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5" i="1"/>
  <c r="AE126" i="1"/>
  <c r="AE128" i="1"/>
  <c r="AE130" i="1"/>
  <c r="AE132" i="1"/>
  <c r="AE135" i="1"/>
  <c r="AE137" i="1"/>
  <c r="AE140" i="1"/>
  <c r="AE143" i="1"/>
  <c r="AE145" i="1"/>
  <c r="AE148" i="1"/>
  <c r="AE151" i="1"/>
  <c r="AE153" i="1"/>
  <c r="AE155" i="1"/>
  <c r="AE158" i="1"/>
  <c r="AE160" i="1"/>
  <c r="AE162" i="1"/>
  <c r="AE164" i="1"/>
  <c r="AE166" i="1"/>
  <c r="AE170" i="1"/>
  <c r="AE174" i="1"/>
  <c r="AE177" i="1"/>
  <c r="AE180" i="1"/>
  <c r="AE182" i="1"/>
  <c r="AE185" i="1"/>
  <c r="AE188" i="1"/>
  <c r="AE190" i="1"/>
  <c r="AE193" i="1"/>
  <c r="AE196" i="1"/>
  <c r="AE198" i="1"/>
  <c r="AE200" i="1"/>
  <c r="AE202" i="1"/>
  <c r="AE204" i="1"/>
  <c r="AE205" i="1"/>
  <c r="AE208" i="1"/>
  <c r="AE210" i="1"/>
  <c r="AE212" i="1"/>
  <c r="AE214" i="1"/>
  <c r="AE216" i="1"/>
  <c r="AE218" i="1"/>
  <c r="AE222" i="1"/>
  <c r="AE224" i="1"/>
  <c r="AE226" i="1"/>
  <c r="AE229" i="1"/>
  <c r="AE231" i="1"/>
  <c r="AE232" i="1"/>
  <c r="AE234" i="1"/>
  <c r="AE236" i="1"/>
  <c r="AE239" i="1"/>
  <c r="AE242" i="1"/>
  <c r="AE245" i="1"/>
  <c r="AE248" i="1"/>
  <c r="AE250" i="1"/>
  <c r="AE254" i="1"/>
  <c r="AE279" i="1"/>
  <c r="AE286" i="1"/>
  <c r="AE290" i="1"/>
  <c r="AE294" i="1"/>
  <c r="AE298" i="1"/>
  <c r="AE302" i="1"/>
  <c r="AE306" i="1"/>
  <c r="AE311" i="1"/>
  <c r="AE315" i="1"/>
  <c r="AE319" i="1"/>
  <c r="AE323" i="1"/>
  <c r="AE328" i="1"/>
  <c r="AE333" i="1"/>
  <c r="AE334" i="1"/>
  <c r="AE338" i="1"/>
  <c r="AE342" i="1"/>
  <c r="AE347" i="1"/>
  <c r="AE353" i="1"/>
  <c r="AE358" i="1"/>
  <c r="AE361" i="1"/>
  <c r="AE366" i="1"/>
  <c r="AE370" i="1"/>
  <c r="AE376" i="1"/>
  <c r="AE381" i="1"/>
  <c r="AE385" i="1"/>
  <c r="AE389" i="1"/>
  <c r="AE397" i="1"/>
  <c r="AE402" i="1"/>
  <c r="AE406" i="1"/>
  <c r="AE409" i="1"/>
  <c r="AE413" i="1"/>
  <c r="AE416" i="1"/>
  <c r="AE419" i="1"/>
  <c r="AE424" i="1"/>
  <c r="AE429" i="1"/>
  <c r="AE432" i="1"/>
  <c r="AE435" i="1"/>
  <c r="AE440" i="1"/>
  <c r="AE445" i="1"/>
  <c r="AE448" i="1"/>
  <c r="AE451" i="1"/>
  <c r="AE456" i="1"/>
  <c r="AE5" i="1"/>
  <c r="AE281" i="1"/>
  <c r="AE296" i="1"/>
  <c r="AE300" i="1"/>
  <c r="AE304" i="1"/>
  <c r="AE307" i="1"/>
  <c r="AE310" i="1"/>
  <c r="AE313" i="1"/>
  <c r="AE316" i="1"/>
  <c r="AE318" i="1"/>
  <c r="AE320" i="1"/>
  <c r="AE322" i="1"/>
  <c r="AE324" i="1"/>
  <c r="AE327" i="1"/>
  <c r="AE329" i="1"/>
  <c r="AE332" i="1"/>
  <c r="AE336" i="1"/>
  <c r="AE339" i="1"/>
  <c r="AE344" i="1"/>
  <c r="AE346" i="1"/>
  <c r="AE349" i="1"/>
  <c r="AE351" i="1"/>
  <c r="AE355" i="1"/>
  <c r="AE357" i="1"/>
  <c r="AE359" i="1"/>
  <c r="AE362" i="1"/>
  <c r="AE364" i="1"/>
  <c r="AE367" i="1"/>
  <c r="AE369" i="1"/>
  <c r="AE372" i="1"/>
  <c r="AE374" i="1"/>
  <c r="AE377" i="1"/>
  <c r="AE379" i="1"/>
  <c r="AE382" i="1"/>
  <c r="AE384" i="1"/>
  <c r="AE387" i="1"/>
  <c r="AE391" i="1"/>
  <c r="AE393" i="1"/>
  <c r="AE395" i="1"/>
  <c r="AE398" i="1"/>
  <c r="AE400" i="1"/>
  <c r="AE403" i="1"/>
  <c r="AE405" i="1"/>
  <c r="AE407" i="1"/>
  <c r="AE410" i="1"/>
  <c r="AE414" i="1"/>
  <c r="AE418" i="1"/>
  <c r="AE421" i="1"/>
  <c r="AE423" i="1"/>
  <c r="AE426" i="1"/>
  <c r="AE428" i="1"/>
  <c r="AE431" i="1"/>
  <c r="AE434" i="1"/>
  <c r="AE436" i="1"/>
  <c r="AE439" i="1"/>
  <c r="AE442" i="1"/>
  <c r="AE444" i="1"/>
  <c r="AE447" i="1"/>
  <c r="AE449" i="1"/>
  <c r="AE453" i="1"/>
  <c r="AE455" i="1"/>
  <c r="AE457" i="1"/>
  <c r="AB852" i="1" l="1"/>
  <c r="AG852" i="1"/>
  <c r="AA532" i="1"/>
  <c r="AG532" i="1" s="1"/>
  <c r="AF532" i="1"/>
  <c r="AB675" i="1"/>
  <c r="AG675" i="1"/>
  <c r="AA461" i="1"/>
  <c r="AG461" i="1" s="1"/>
  <c r="AF461" i="1"/>
  <c r="AB737" i="1"/>
  <c r="AG737" i="1"/>
  <c r="AB904" i="1"/>
  <c r="AG904" i="1"/>
  <c r="AB849" i="1"/>
  <c r="AG849" i="1"/>
  <c r="AB821" i="1"/>
  <c r="AG821" i="1"/>
  <c r="AB764" i="1"/>
  <c r="AG764" i="1"/>
  <c r="AA678" i="1"/>
  <c r="AF678" i="1"/>
  <c r="AA459" i="1"/>
  <c r="AG459" i="1" s="1"/>
  <c r="AF459" i="1"/>
  <c r="AA844" i="1"/>
  <c r="AF844" i="1"/>
  <c r="AA810" i="1"/>
  <c r="AF810" i="1"/>
  <c r="AA512" i="1"/>
  <c r="AG512" i="1" s="1"/>
  <c r="AF512" i="1"/>
  <c r="AA846" i="1"/>
  <c r="AF846" i="1"/>
  <c r="AB902" i="1"/>
  <c r="AG902" i="1"/>
  <c r="AB873" i="1"/>
  <c r="AG873" i="1"/>
  <c r="AB847" i="1"/>
  <c r="AG847" i="1"/>
  <c r="AB816" i="1"/>
  <c r="AG816" i="1"/>
  <c r="AB762" i="1"/>
  <c r="AG762" i="1"/>
  <c r="AB728" i="1"/>
  <c r="AG728" i="1"/>
  <c r="AB699" i="1"/>
  <c r="AG699" i="1"/>
  <c r="AA500" i="1"/>
  <c r="AG500" i="1" s="1"/>
  <c r="AF500" i="1"/>
  <c r="AA557" i="1"/>
  <c r="AG557" i="1" s="1"/>
  <c r="AF557" i="1"/>
  <c r="AA796" i="1"/>
  <c r="AF796" i="1"/>
  <c r="AB901" i="1"/>
  <c r="AG901" i="1"/>
  <c r="AB727" i="1"/>
  <c r="AG727" i="1"/>
  <c r="AA754" i="1"/>
  <c r="AG754" i="1" s="1"/>
  <c r="AF754" i="1"/>
  <c r="AB900" i="1"/>
  <c r="AG900" i="1"/>
  <c r="AB871" i="1"/>
  <c r="AG871" i="1"/>
  <c r="AB841" i="1"/>
  <c r="AG841" i="1"/>
  <c r="AB812" i="1"/>
  <c r="AG812" i="1"/>
  <c r="AB793" i="1"/>
  <c r="AG793" i="1"/>
  <c r="AB760" i="1"/>
  <c r="AG760" i="1"/>
  <c r="AB726" i="1"/>
  <c r="AG726" i="1"/>
  <c r="AB696" i="1"/>
  <c r="AG696" i="1"/>
  <c r="AB669" i="1"/>
  <c r="AG669" i="1"/>
  <c r="AA720" i="1"/>
  <c r="AF720" i="1"/>
  <c r="AA559" i="1"/>
  <c r="AG559" i="1" s="1"/>
  <c r="AF559" i="1"/>
  <c r="AA899" i="1"/>
  <c r="AG899" i="1" s="1"/>
  <c r="AF899" i="1"/>
  <c r="AA643" i="1"/>
  <c r="AG643" i="1" s="1"/>
  <c r="AF643" i="1"/>
  <c r="AA757" i="1"/>
  <c r="AF757" i="1"/>
  <c r="AA907" i="1"/>
  <c r="AF907" i="1"/>
  <c r="AA908" i="1"/>
  <c r="AF908" i="1"/>
  <c r="AA769" i="1"/>
  <c r="AF769" i="1"/>
  <c r="AB896" i="1"/>
  <c r="AG896" i="1"/>
  <c r="AB870" i="1"/>
  <c r="AG870" i="1"/>
  <c r="AB840" i="1"/>
  <c r="AG840" i="1"/>
  <c r="AB811" i="1"/>
  <c r="AG811" i="1"/>
  <c r="AB792" i="1"/>
  <c r="AG792" i="1"/>
  <c r="AB759" i="1"/>
  <c r="AG759" i="1"/>
  <c r="AB725" i="1"/>
  <c r="AG725" i="1"/>
  <c r="AB695" i="1"/>
  <c r="AG695" i="1"/>
  <c r="AB668" i="1"/>
  <c r="AG668" i="1"/>
  <c r="AA2" i="1"/>
  <c r="AF2" i="1"/>
  <c r="AA536" i="1"/>
  <c r="AG536" i="1" s="1"/>
  <c r="AF536" i="1"/>
  <c r="AB895" i="1"/>
  <c r="AG895" i="1"/>
  <c r="AB869" i="1"/>
  <c r="AG869" i="1"/>
  <c r="AB839" i="1"/>
  <c r="AG839" i="1"/>
  <c r="AB809" i="1"/>
  <c r="AG809" i="1"/>
  <c r="AB791" i="1"/>
  <c r="AG791" i="1"/>
  <c r="AA755" i="1"/>
  <c r="AB724" i="1"/>
  <c r="AG724" i="1"/>
  <c r="AB694" i="1"/>
  <c r="AG694" i="1"/>
  <c r="AB667" i="1"/>
  <c r="AG667" i="1"/>
  <c r="AA501" i="1"/>
  <c r="AG501" i="1" s="1"/>
  <c r="AF501" i="1"/>
  <c r="AA845" i="1"/>
  <c r="AG845" i="1" s="1"/>
  <c r="AF845" i="1"/>
  <c r="AA535" i="1"/>
  <c r="AG535" i="1" s="1"/>
  <c r="AF535" i="1"/>
  <c r="AA494" i="1"/>
  <c r="AG494" i="1" s="1"/>
  <c r="AF494" i="1"/>
  <c r="AA468" i="1"/>
  <c r="AG468" i="1" s="1"/>
  <c r="AF468" i="1"/>
  <c r="AA506" i="1"/>
  <c r="AG506" i="1" s="1"/>
  <c r="AF506" i="1"/>
  <c r="AB729" i="1"/>
  <c r="AG729" i="1"/>
  <c r="AB671" i="1"/>
  <c r="AG671" i="1"/>
  <c r="AA505" i="1"/>
  <c r="AG505" i="1" s="1"/>
  <c r="AF505" i="1"/>
  <c r="AA697" i="1"/>
  <c r="AF697" i="1"/>
  <c r="AB672" i="1"/>
  <c r="AG672" i="1"/>
  <c r="AB795" i="1"/>
  <c r="AG795" i="1"/>
  <c r="AB843" i="1"/>
  <c r="AG843" i="1"/>
  <c r="AB761" i="1"/>
  <c r="AG761" i="1"/>
  <c r="AA615" i="1"/>
  <c r="AG615" i="1" s="1"/>
  <c r="AF615" i="1"/>
  <c r="AB665" i="1"/>
  <c r="AG665" i="1"/>
  <c r="AA510" i="1"/>
  <c r="AG510" i="1" s="1"/>
  <c r="AF510" i="1"/>
  <c r="AA514" i="1"/>
  <c r="AG514" i="1" s="1"/>
  <c r="AF514" i="1"/>
  <c r="AA560" i="1"/>
  <c r="AG560" i="1" s="1"/>
  <c r="AF560" i="1"/>
  <c r="AA534" i="1"/>
  <c r="AG534" i="1" s="1"/>
  <c r="AF534" i="1"/>
  <c r="AA909" i="1"/>
  <c r="AF909" i="1"/>
  <c r="AB878" i="1"/>
  <c r="AG878" i="1"/>
  <c r="AB770" i="1"/>
  <c r="AG770" i="1"/>
  <c r="AB739" i="1"/>
  <c r="AG739" i="1"/>
  <c r="AA610" i="1"/>
  <c r="AG610" i="1" s="1"/>
  <c r="AF610" i="1"/>
  <c r="AB877" i="1"/>
  <c r="AG877" i="1"/>
  <c r="AB851" i="1"/>
  <c r="AG851" i="1"/>
  <c r="AB768" i="1"/>
  <c r="AG768" i="1"/>
  <c r="AB706" i="1"/>
  <c r="AG706" i="1"/>
  <c r="AA644" i="1"/>
  <c r="AG644" i="1" s="1"/>
  <c r="AF644" i="1"/>
  <c r="AB905" i="1"/>
  <c r="AG905" i="1"/>
  <c r="AB850" i="1"/>
  <c r="AG850" i="1"/>
  <c r="AB765" i="1"/>
  <c r="AG765" i="1"/>
  <c r="AB674" i="1"/>
  <c r="AG674" i="1"/>
  <c r="AA467" i="1"/>
  <c r="AG467" i="1" s="1"/>
  <c r="AF467" i="1"/>
  <c r="AA692" i="1"/>
  <c r="AF692" i="1"/>
  <c r="AA704" i="1"/>
  <c r="AF704" i="1"/>
  <c r="AB702" i="1"/>
  <c r="AG702" i="1"/>
  <c r="AB824" i="1"/>
  <c r="AG824" i="1"/>
  <c r="AA600" i="1"/>
  <c r="AG600" i="1" s="1"/>
  <c r="AF600" i="1"/>
  <c r="AA590" i="1"/>
  <c r="AG590" i="1" s="1"/>
  <c r="AF590" i="1"/>
  <c r="AA603" i="1"/>
  <c r="AG603" i="1" s="1"/>
  <c r="AF603" i="1"/>
  <c r="AA777" i="1"/>
  <c r="AG777" i="1" s="1"/>
  <c r="AF777" i="1"/>
  <c r="AA864" i="1"/>
  <c r="AG864" i="1" s="1"/>
  <c r="AF864" i="1"/>
  <c r="AB872" i="1"/>
  <c r="AG872" i="1"/>
  <c r="AB815" i="1"/>
  <c r="AG815" i="1"/>
  <c r="AB794" i="1"/>
  <c r="AG794" i="1"/>
  <c r="AB698" i="1"/>
  <c r="AG698" i="1"/>
  <c r="AB670" i="1"/>
  <c r="AG670" i="1"/>
  <c r="AA611" i="1"/>
  <c r="AG611" i="1" s="1"/>
  <c r="AF611" i="1"/>
  <c r="AA897" i="1"/>
  <c r="AF897" i="1"/>
  <c r="AA503" i="1"/>
  <c r="AG503" i="1" s="1"/>
  <c r="AF503" i="1"/>
  <c r="AA601" i="1"/>
  <c r="AG601" i="1" s="1"/>
  <c r="AF601" i="1"/>
  <c r="AA819" i="1"/>
  <c r="AG819" i="1" s="1"/>
  <c r="AF819" i="1"/>
  <c r="AB894" i="1"/>
  <c r="AG894" i="1"/>
  <c r="AB868" i="1"/>
  <c r="AG868" i="1"/>
  <c r="AB838" i="1"/>
  <c r="AG838" i="1"/>
  <c r="AB808" i="1"/>
  <c r="AG808" i="1"/>
  <c r="AB790" i="1"/>
  <c r="AG790" i="1"/>
  <c r="AB751" i="1"/>
  <c r="AG751" i="1"/>
  <c r="AA721" i="1"/>
  <c r="AG721" i="1" s="1"/>
  <c r="AB693" i="1"/>
  <c r="AG693" i="1"/>
  <c r="AB666" i="1"/>
  <c r="AG666" i="1"/>
  <c r="AA515" i="1"/>
  <c r="AG515" i="1" s="1"/>
  <c r="AF515" i="1"/>
  <c r="AA483" i="1"/>
  <c r="AG483" i="1" s="1"/>
  <c r="AF483" i="1"/>
  <c r="AA813" i="1"/>
  <c r="AF813" i="1"/>
  <c r="AA616" i="1"/>
  <c r="AG616" i="1" s="1"/>
  <c r="AF616" i="1"/>
  <c r="AB893" i="1"/>
  <c r="AG893" i="1"/>
  <c r="AB867" i="1"/>
  <c r="AG867" i="1"/>
  <c r="AB837" i="1"/>
  <c r="AG837" i="1"/>
  <c r="AB807" i="1"/>
  <c r="AG807" i="1"/>
  <c r="AB786" i="1"/>
  <c r="AG786" i="1"/>
  <c r="AB750" i="1"/>
  <c r="AG750" i="1"/>
  <c r="AB719" i="1"/>
  <c r="AG719" i="1"/>
  <c r="AB691" i="1"/>
  <c r="AG691" i="1"/>
  <c r="AB892" i="1"/>
  <c r="AG892" i="1"/>
  <c r="AB866" i="1"/>
  <c r="AG866" i="1"/>
  <c r="AA836" i="1"/>
  <c r="AB806" i="1"/>
  <c r="AG806" i="1"/>
  <c r="AB785" i="1"/>
  <c r="AG785" i="1"/>
  <c r="AB749" i="1"/>
  <c r="AG749" i="1"/>
  <c r="AB718" i="1"/>
  <c r="AG718" i="1"/>
  <c r="AB690" i="1"/>
  <c r="AG690" i="1"/>
  <c r="AB663" i="1"/>
  <c r="AG663" i="1"/>
  <c r="AA490" i="1"/>
  <c r="AG490" i="1" s="1"/>
  <c r="AF490" i="1"/>
  <c r="AA612" i="1"/>
  <c r="AG612" i="1" s="1"/>
  <c r="AF612" i="1"/>
  <c r="AA472" i="1"/>
  <c r="AG472" i="1" s="1"/>
  <c r="AF472" i="1"/>
  <c r="AA488" i="1"/>
  <c r="AG488" i="1" s="1"/>
  <c r="AF488" i="1"/>
  <c r="AA516" i="1"/>
  <c r="AG516" i="1" s="1"/>
  <c r="AF516" i="1"/>
  <c r="AB865" i="1"/>
  <c r="AG865" i="1"/>
  <c r="AB835" i="1"/>
  <c r="AG835" i="1"/>
  <c r="AB805" i="1"/>
  <c r="AG805" i="1"/>
  <c r="AB784" i="1"/>
  <c r="AG784" i="1"/>
  <c r="AB748" i="1"/>
  <c r="AG748" i="1"/>
  <c r="AB717" i="1"/>
  <c r="AG717" i="1"/>
  <c r="AB689" i="1"/>
  <c r="AG689" i="1"/>
  <c r="AB662" i="1"/>
  <c r="AG662" i="1"/>
  <c r="AA654" i="1"/>
  <c r="AG654" i="1" s="1"/>
  <c r="AF654" i="1"/>
  <c r="AA842" i="1"/>
  <c r="AF842" i="1"/>
  <c r="AA688" i="1"/>
  <c r="AF688" i="1"/>
  <c r="AA558" i="1"/>
  <c r="AG558" i="1" s="1"/>
  <c r="AF558" i="1"/>
  <c r="AA714" i="1"/>
  <c r="AF714" i="1"/>
  <c r="AA578" i="1"/>
  <c r="AG578" i="1" s="1"/>
  <c r="AF578" i="1"/>
  <c r="AA598" i="1"/>
  <c r="AG598" i="1" s="1"/>
  <c r="AF598" i="1"/>
  <c r="AB910" i="1"/>
  <c r="AG910" i="1"/>
  <c r="AB676" i="1"/>
  <c r="AG676" i="1"/>
  <c r="AB804" i="1"/>
  <c r="AG804" i="1"/>
  <c r="AB747" i="1"/>
  <c r="AG747" i="1"/>
  <c r="AA655" i="1"/>
  <c r="AG655" i="1" s="1"/>
  <c r="AF655" i="1"/>
  <c r="AB860" i="1"/>
  <c r="AG860" i="1"/>
  <c r="AB803" i="1"/>
  <c r="AG803" i="1"/>
  <c r="AB715" i="1"/>
  <c r="AG715" i="1"/>
  <c r="AA885" i="1"/>
  <c r="AG885" i="1" s="1"/>
  <c r="AF885" i="1"/>
  <c r="AA602" i="1"/>
  <c r="AG602" i="1" s="1"/>
  <c r="AF602" i="1"/>
  <c r="AB859" i="1"/>
  <c r="AG859" i="1"/>
  <c r="AB781" i="1"/>
  <c r="AG781" i="1"/>
  <c r="AA599" i="1"/>
  <c r="AG599" i="1" s="1"/>
  <c r="AF599" i="1"/>
  <c r="AA799" i="1"/>
  <c r="AF799" i="1"/>
  <c r="AA814" i="1"/>
  <c r="AF814" i="1"/>
  <c r="AB828" i="1"/>
  <c r="AG828" i="1"/>
  <c r="AB711" i="1"/>
  <c r="AG711" i="1"/>
  <c r="AA735" i="1"/>
  <c r="AG735" i="1" s="1"/>
  <c r="AF735" i="1"/>
  <c r="AA686" i="1"/>
  <c r="AF686" i="1"/>
  <c r="AB913" i="1"/>
  <c r="AG913" i="1"/>
  <c r="AB881" i="1"/>
  <c r="AG881" i="1"/>
  <c r="AB856" i="1"/>
  <c r="AG856" i="1"/>
  <c r="AB827" i="1"/>
  <c r="AG827" i="1"/>
  <c r="AB773" i="1"/>
  <c r="AG773" i="1"/>
  <c r="AB742" i="1"/>
  <c r="AG742" i="1"/>
  <c r="AB710" i="1"/>
  <c r="AG710" i="1"/>
  <c r="AB680" i="1"/>
  <c r="AG680" i="1"/>
  <c r="AA634" i="1"/>
  <c r="AG634" i="1" s="1"/>
  <c r="AF634" i="1"/>
  <c r="AA774" i="1"/>
  <c r="AF774" i="1"/>
  <c r="AA862" i="1"/>
  <c r="AF862" i="1"/>
  <c r="AA734" i="1"/>
  <c r="AG734" i="1" s="1"/>
  <c r="AF734" i="1"/>
  <c r="AA818" i="1"/>
  <c r="AF818" i="1"/>
  <c r="AA752" i="1"/>
  <c r="AF752" i="1"/>
  <c r="AB707" i="1"/>
  <c r="AG707" i="1"/>
  <c r="AA789" i="1"/>
  <c r="AF789" i="1"/>
  <c r="AA493" i="1"/>
  <c r="AG493" i="1" s="1"/>
  <c r="AF493" i="1"/>
  <c r="AB823" i="1"/>
  <c r="AG823" i="1"/>
  <c r="AB876" i="1"/>
  <c r="AG876" i="1"/>
  <c r="AB822" i="1"/>
  <c r="AG822" i="1"/>
  <c r="AB705" i="1"/>
  <c r="AG705" i="1"/>
  <c r="AA502" i="1"/>
  <c r="AG502" i="1" s="1"/>
  <c r="AF502" i="1"/>
  <c r="AB875" i="1"/>
  <c r="AG875" i="1"/>
  <c r="AB733" i="1"/>
  <c r="AG733" i="1"/>
  <c r="AB673" i="1"/>
  <c r="AG673" i="1"/>
  <c r="AA732" i="1"/>
  <c r="AG732" i="1" s="1"/>
  <c r="AF732" i="1"/>
  <c r="AB874" i="1"/>
  <c r="AG874" i="1"/>
  <c r="AB797" i="1"/>
  <c r="AG797" i="1"/>
  <c r="AA492" i="1"/>
  <c r="AG492" i="1" s="1"/>
  <c r="AF492" i="1"/>
  <c r="AA855" i="1"/>
  <c r="AF855" i="1"/>
  <c r="AA664" i="1"/>
  <c r="AF664" i="1"/>
  <c r="AB834" i="1"/>
  <c r="AG834" i="1"/>
  <c r="AB716" i="1"/>
  <c r="AG716" i="1"/>
  <c r="AB661" i="1"/>
  <c r="AG661" i="1"/>
  <c r="AB782" i="1"/>
  <c r="AG782" i="1"/>
  <c r="AA884" i="1"/>
  <c r="AG884" i="1" s="1"/>
  <c r="AB832" i="1"/>
  <c r="AG832" i="1"/>
  <c r="AB801" i="1"/>
  <c r="AG801" i="1"/>
  <c r="AB745" i="1"/>
  <c r="AG745" i="1"/>
  <c r="AA886" i="1"/>
  <c r="AG886" i="1" s="1"/>
  <c r="AF886" i="1"/>
  <c r="AA620" i="1"/>
  <c r="AG620" i="1" s="1"/>
  <c r="AF620" i="1"/>
  <c r="AA466" i="1"/>
  <c r="AG466" i="1" s="1"/>
  <c r="AF466" i="1"/>
  <c r="AA660" i="1"/>
  <c r="AF660" i="1"/>
  <c r="AB858" i="1"/>
  <c r="AG858" i="1"/>
  <c r="AB829" i="1"/>
  <c r="AG829" i="1"/>
  <c r="AB744" i="1"/>
  <c r="AG744" i="1"/>
  <c r="AB682" i="1"/>
  <c r="AG682" i="1"/>
  <c r="AA546" i="1"/>
  <c r="AG546" i="1" s="1"/>
  <c r="AF546" i="1"/>
  <c r="AA723" i="1"/>
  <c r="AF723" i="1"/>
  <c r="AA646" i="1"/>
  <c r="AG646" i="1" s="1"/>
  <c r="AF646" i="1"/>
  <c r="AA484" i="1"/>
  <c r="AG484" i="1" s="1"/>
  <c r="AF484" i="1"/>
  <c r="AB882" i="1"/>
  <c r="AG882" i="1"/>
  <c r="AB779" i="1"/>
  <c r="AG779" i="1"/>
  <c r="AA887" i="1"/>
  <c r="AG887" i="1" s="1"/>
  <c r="AF887" i="1"/>
  <c r="AA730" i="1"/>
  <c r="AF730" i="1"/>
  <c r="AA645" i="1"/>
  <c r="AG645" i="1" s="1"/>
  <c r="AF645" i="1"/>
  <c r="AB912" i="1"/>
  <c r="AG912" i="1"/>
  <c r="AB880" i="1"/>
  <c r="AG880" i="1"/>
  <c r="AB854" i="1"/>
  <c r="AG854" i="1"/>
  <c r="AB826" i="1"/>
  <c r="AG826" i="1"/>
  <c r="AB772" i="1"/>
  <c r="AG772" i="1"/>
  <c r="AB741" i="1"/>
  <c r="AG741" i="1"/>
  <c r="AB709" i="1"/>
  <c r="AG709" i="1"/>
  <c r="AB679" i="1"/>
  <c r="AG679" i="1"/>
  <c r="AA604" i="1"/>
  <c r="AG604" i="1" s="1"/>
  <c r="AF604" i="1"/>
  <c r="AA767" i="1"/>
  <c r="AG767" i="1" s="1"/>
  <c r="AF767" i="1"/>
  <c r="AA511" i="1"/>
  <c r="AG511" i="1" s="1"/>
  <c r="AF511" i="1"/>
  <c r="AB738" i="1"/>
  <c r="AG738" i="1"/>
  <c r="AB798" i="1"/>
  <c r="AG798" i="1"/>
  <c r="AB903" i="1"/>
  <c r="AG903" i="1"/>
  <c r="AB848" i="1"/>
  <c r="AG848" i="1"/>
  <c r="AB817" i="1"/>
  <c r="AG817" i="1"/>
  <c r="AB763" i="1"/>
  <c r="AG763" i="1"/>
  <c r="AB701" i="1"/>
  <c r="AG701" i="1"/>
  <c r="AB861" i="1"/>
  <c r="AG861" i="1"/>
  <c r="AB783" i="1"/>
  <c r="AG783" i="1"/>
  <c r="AB685" i="1"/>
  <c r="AG685" i="1"/>
  <c r="AA830" i="1"/>
  <c r="AF830" i="1"/>
  <c r="AA554" i="1"/>
  <c r="AG554" i="1" s="1"/>
  <c r="AF554" i="1"/>
  <c r="AA802" i="1"/>
  <c r="AF802" i="1"/>
  <c r="AB833" i="1"/>
  <c r="AG833" i="1"/>
  <c r="AB746" i="1"/>
  <c r="AG746" i="1"/>
  <c r="AB684" i="1"/>
  <c r="AG684" i="1"/>
  <c r="AB659" i="1"/>
  <c r="AG659" i="1"/>
  <c r="AB713" i="1"/>
  <c r="AG713" i="1"/>
  <c r="AB683" i="1"/>
  <c r="AG683" i="1"/>
  <c r="AA888" i="1"/>
  <c r="AG888" i="1" s="1"/>
  <c r="AF888" i="1"/>
  <c r="AA555" i="1"/>
  <c r="AG555" i="1" s="1"/>
  <c r="AF555" i="1"/>
  <c r="AB883" i="1"/>
  <c r="AG883" i="1"/>
  <c r="AB780" i="1"/>
  <c r="AG780" i="1"/>
  <c r="AB712" i="1"/>
  <c r="AG712" i="1"/>
  <c r="AB857" i="1"/>
  <c r="AG857" i="1"/>
  <c r="AB743" i="1"/>
  <c r="AG743" i="1"/>
  <c r="AB681" i="1"/>
  <c r="AG681" i="1"/>
  <c r="AA788" i="1"/>
  <c r="AF788" i="1"/>
  <c r="AA642" i="1"/>
  <c r="AG642" i="1" s="1"/>
  <c r="AF642" i="1"/>
  <c r="AA576" i="1"/>
  <c r="AG576" i="1" s="1"/>
  <c r="AF576" i="1"/>
  <c r="AA703" i="1"/>
  <c r="AG703" i="1" s="1"/>
  <c r="AF703" i="1"/>
  <c r="AB911" i="1"/>
  <c r="AG911" i="1"/>
  <c r="AB879" i="1"/>
  <c r="AG879" i="1"/>
  <c r="AB853" i="1"/>
  <c r="AG853" i="1"/>
  <c r="AB825" i="1"/>
  <c r="AG825" i="1"/>
  <c r="AB771" i="1"/>
  <c r="AG771" i="1"/>
  <c r="AB740" i="1"/>
  <c r="AG740" i="1"/>
  <c r="AB708" i="1"/>
  <c r="AG708" i="1"/>
  <c r="AB677" i="1"/>
  <c r="AG677" i="1"/>
  <c r="AA831" i="1"/>
  <c r="AG831" i="1" s="1"/>
  <c r="AF831" i="1"/>
  <c r="AA556" i="1"/>
  <c r="AG556" i="1" s="1"/>
  <c r="AF556" i="1"/>
  <c r="AA863" i="1"/>
  <c r="AG863" i="1" s="1"/>
  <c r="AF863" i="1"/>
  <c r="AA533" i="1"/>
  <c r="AG533" i="1" s="1"/>
  <c r="AF533" i="1"/>
  <c r="AB899" i="1"/>
  <c r="AB906" i="1"/>
  <c r="AA766" i="1"/>
  <c r="AA787" i="1"/>
  <c r="AA722" i="1"/>
  <c r="AA700" i="1"/>
  <c r="AA820" i="1"/>
  <c r="AA736" i="1"/>
  <c r="AA800" i="1"/>
  <c r="AA778" i="1"/>
  <c r="AA756" i="1"/>
  <c r="AA758" i="1"/>
  <c r="AA776" i="1"/>
  <c r="AA775" i="1"/>
  <c r="AA753" i="1"/>
  <c r="AA731" i="1"/>
  <c r="AA687" i="1"/>
  <c r="AA898" i="1"/>
  <c r="AA231" i="1"/>
  <c r="AA232" i="1"/>
  <c r="AA233" i="1"/>
  <c r="AG233" i="1" s="1"/>
  <c r="AA234" i="1"/>
  <c r="AA235" i="1"/>
  <c r="AA236" i="1"/>
  <c r="AA237" i="1"/>
  <c r="AG237" i="1" s="1"/>
  <c r="AB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G257" i="1" s="1"/>
  <c r="AB257" i="1"/>
  <c r="AA258" i="1"/>
  <c r="AA259" i="1"/>
  <c r="AA260" i="1"/>
  <c r="AA261" i="1"/>
  <c r="AA262" i="1"/>
  <c r="AA263" i="1"/>
  <c r="AG263" i="1" s="1"/>
  <c r="AA264" i="1"/>
  <c r="AG264" i="1" s="1"/>
  <c r="AA265" i="1"/>
  <c r="AA266" i="1"/>
  <c r="AG266" i="1" s="1"/>
  <c r="AB266" i="1"/>
  <c r="AA267" i="1"/>
  <c r="AA268" i="1"/>
  <c r="AA269" i="1"/>
  <c r="AA270" i="1"/>
  <c r="AG270" i="1" s="1"/>
  <c r="AB270" i="1"/>
  <c r="AA271" i="1"/>
  <c r="AG271" i="1" s="1"/>
  <c r="AB271" i="1"/>
  <c r="AA272" i="1"/>
  <c r="AA273" i="1"/>
  <c r="AA274" i="1"/>
  <c r="AA275" i="1"/>
  <c r="AA276" i="1"/>
  <c r="AA277" i="1"/>
  <c r="AA278" i="1"/>
  <c r="AA279" i="1"/>
  <c r="AA280" i="1"/>
  <c r="AG280" i="1" s="1"/>
  <c r="AB280" i="1"/>
  <c r="AA281" i="1"/>
  <c r="AG281" i="1" s="1"/>
  <c r="AA282" i="1"/>
  <c r="AG282" i="1" s="1"/>
  <c r="AA283" i="1"/>
  <c r="AA284" i="1"/>
  <c r="AA285" i="1"/>
  <c r="AG285" i="1" s="1"/>
  <c r="AB285" i="1"/>
  <c r="AA286" i="1"/>
  <c r="AA287" i="1"/>
  <c r="AG287" i="1" s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G308" i="1" s="1"/>
  <c r="AA309" i="1"/>
  <c r="AA310" i="1"/>
  <c r="AA311" i="1"/>
  <c r="AA312" i="1"/>
  <c r="AA313" i="1"/>
  <c r="AG313" i="1" s="1"/>
  <c r="AB313" i="1"/>
  <c r="AA314" i="1"/>
  <c r="AA315" i="1"/>
  <c r="AA316" i="1"/>
  <c r="AG316" i="1" s="1"/>
  <c r="AB316" i="1"/>
  <c r="AA317" i="1"/>
  <c r="AA318" i="1"/>
  <c r="AG318" i="1" s="1"/>
  <c r="AA319" i="1"/>
  <c r="AA320" i="1"/>
  <c r="AA321" i="1"/>
  <c r="AA322" i="1"/>
  <c r="AG322" i="1" s="1"/>
  <c r="AA323" i="1"/>
  <c r="AA324" i="1"/>
  <c r="AA325" i="1"/>
  <c r="AA326" i="1"/>
  <c r="AG326" i="1" s="1"/>
  <c r="AA327" i="1"/>
  <c r="AA328" i="1"/>
  <c r="AA329" i="1"/>
  <c r="AG329" i="1" s="1"/>
  <c r="AA330" i="1"/>
  <c r="AA331" i="1"/>
  <c r="AG331" i="1" s="1"/>
  <c r="AA332" i="1"/>
  <c r="AG332" i="1" s="1"/>
  <c r="AA333" i="1"/>
  <c r="AA334" i="1"/>
  <c r="AG334" i="1" s="1"/>
  <c r="AA335" i="1"/>
  <c r="AA336" i="1"/>
  <c r="AG336" i="1" s="1"/>
  <c r="AA337" i="1"/>
  <c r="AG337" i="1" s="1"/>
  <c r="AA338" i="1"/>
  <c r="AA339" i="1"/>
  <c r="AG339" i="1" s="1"/>
  <c r="AA340" i="1"/>
  <c r="AG340" i="1" s="1"/>
  <c r="AA341" i="1"/>
  <c r="AG341" i="1" s="1"/>
  <c r="AA342" i="1"/>
  <c r="AG342" i="1" s="1"/>
  <c r="AA343" i="1"/>
  <c r="AG343" i="1" s="1"/>
  <c r="AA344" i="1"/>
  <c r="AA345" i="1"/>
  <c r="AA346" i="1"/>
  <c r="AG346" i="1" s="1"/>
  <c r="AB346" i="1"/>
  <c r="AA347" i="1"/>
  <c r="AA348" i="1"/>
  <c r="AG348" i="1" s="1"/>
  <c r="AB348" i="1"/>
  <c r="AA349" i="1"/>
  <c r="AA350" i="1"/>
  <c r="AG350" i="1" s="1"/>
  <c r="AA351" i="1"/>
  <c r="AG351" i="1" s="1"/>
  <c r="AA352" i="1"/>
  <c r="AG352" i="1" s="1"/>
  <c r="AB352" i="1"/>
  <c r="AA353" i="1"/>
  <c r="AG353" i="1" s="1"/>
  <c r="AA354" i="1"/>
  <c r="AG354" i="1" s="1"/>
  <c r="AA355" i="1"/>
  <c r="AG355" i="1" s="1"/>
  <c r="AA356" i="1"/>
  <c r="AG356" i="1" s="1"/>
  <c r="AA357" i="1"/>
  <c r="AG357" i="1" s="1"/>
  <c r="AB357" i="1"/>
  <c r="AA358" i="1"/>
  <c r="AG358" i="1" s="1"/>
  <c r="AA359" i="1"/>
  <c r="AA360" i="1"/>
  <c r="AG360" i="1" s="1"/>
  <c r="AA361" i="1"/>
  <c r="AG361" i="1" s="1"/>
  <c r="AA362" i="1"/>
  <c r="AG362" i="1" s="1"/>
  <c r="AA363" i="1"/>
  <c r="AA364" i="1"/>
  <c r="AG364" i="1" s="1"/>
  <c r="AA365" i="1"/>
  <c r="AA366" i="1"/>
  <c r="AG366" i="1" s="1"/>
  <c r="AA367" i="1"/>
  <c r="AG367" i="1" s="1"/>
  <c r="AA368" i="1"/>
  <c r="AA369" i="1"/>
  <c r="AA370" i="1"/>
  <c r="AA371" i="1"/>
  <c r="AA372" i="1"/>
  <c r="AG372" i="1" s="1"/>
  <c r="AA373" i="1"/>
  <c r="AA374" i="1"/>
  <c r="AA375" i="1"/>
  <c r="AG375" i="1" s="1"/>
  <c r="AA376" i="1"/>
  <c r="AA377" i="1"/>
  <c r="AA378" i="1"/>
  <c r="AG378" i="1" s="1"/>
  <c r="AA379" i="1"/>
  <c r="AA380" i="1"/>
  <c r="AG380" i="1" s="1"/>
  <c r="AA381" i="1"/>
  <c r="AA382" i="1"/>
  <c r="AA383" i="1"/>
  <c r="AG383" i="1" s="1"/>
  <c r="AB383" i="1"/>
  <c r="AA384" i="1"/>
  <c r="AG384" i="1" s="1"/>
  <c r="AB384" i="1"/>
  <c r="AA385" i="1"/>
  <c r="AG385" i="1" s="1"/>
  <c r="AB385" i="1"/>
  <c r="AA386" i="1"/>
  <c r="AA387" i="1"/>
  <c r="AA388" i="1"/>
  <c r="AA389" i="1"/>
  <c r="AA390" i="1"/>
  <c r="AA391" i="1"/>
  <c r="AG391" i="1" s="1"/>
  <c r="AB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G407" i="1" s="1"/>
  <c r="AA408" i="1"/>
  <c r="AA409" i="1"/>
  <c r="AA410" i="1"/>
  <c r="AA411" i="1"/>
  <c r="AA412" i="1"/>
  <c r="AG412" i="1" s="1"/>
  <c r="AB412" i="1"/>
  <c r="AA413" i="1"/>
  <c r="AG413" i="1" s="1"/>
  <c r="AA414" i="1"/>
  <c r="AA415" i="1"/>
  <c r="AA416" i="1"/>
  <c r="AA417" i="1"/>
  <c r="AA418" i="1"/>
  <c r="AA419" i="1"/>
  <c r="AA420" i="1"/>
  <c r="AA421" i="1"/>
  <c r="AA422" i="1"/>
  <c r="AA423" i="1"/>
  <c r="AA424" i="1"/>
  <c r="AG424" i="1" s="1"/>
  <c r="AB424" i="1"/>
  <c r="AA425" i="1"/>
  <c r="AA426" i="1"/>
  <c r="AA427" i="1"/>
  <c r="AA428" i="1"/>
  <c r="AA429" i="1"/>
  <c r="AA430" i="1"/>
  <c r="AA431" i="1"/>
  <c r="AA432" i="1"/>
  <c r="AA433" i="1"/>
  <c r="AA434" i="1"/>
  <c r="AA435" i="1"/>
  <c r="AG435" i="1" s="1"/>
  <c r="AA436" i="1"/>
  <c r="AA437" i="1"/>
  <c r="AA438" i="1"/>
  <c r="AA439" i="1"/>
  <c r="AA440" i="1"/>
  <c r="AA441" i="1"/>
  <c r="AA442" i="1"/>
  <c r="AA443" i="1"/>
  <c r="AA444" i="1"/>
  <c r="AA445" i="1"/>
  <c r="AG445" i="1" s="1"/>
  <c r="AB445" i="1"/>
  <c r="AA446" i="1"/>
  <c r="AA447" i="1"/>
  <c r="AG447" i="1" s="1"/>
  <c r="AA448" i="1"/>
  <c r="AA449" i="1"/>
  <c r="AA450" i="1"/>
  <c r="AA451" i="1"/>
  <c r="AA452" i="1"/>
  <c r="AA453" i="1"/>
  <c r="AA454" i="1"/>
  <c r="AA455" i="1"/>
  <c r="AA456" i="1"/>
  <c r="AA457" i="1"/>
  <c r="AA458" i="1"/>
  <c r="AA3" i="1"/>
  <c r="AG3" i="1" s="1"/>
  <c r="AB3" i="1"/>
  <c r="AA4" i="1"/>
  <c r="AG4" i="1" s="1"/>
  <c r="AA5" i="1"/>
  <c r="AA6" i="1"/>
  <c r="AA7" i="1"/>
  <c r="AG7" i="1" s="1"/>
  <c r="AA8" i="1"/>
  <c r="AG8" i="1" s="1"/>
  <c r="AB8" i="1"/>
  <c r="AA9" i="1"/>
  <c r="AG9" i="1" s="1"/>
  <c r="AA10" i="1"/>
  <c r="AA11" i="1"/>
  <c r="AA12" i="1"/>
  <c r="AA13" i="1"/>
  <c r="AG13" i="1" s="1"/>
  <c r="AA14" i="1"/>
  <c r="AA15" i="1"/>
  <c r="AA16" i="1"/>
  <c r="AA17" i="1"/>
  <c r="AG17" i="1" s="1"/>
  <c r="AA18" i="1"/>
  <c r="AG18" i="1" s="1"/>
  <c r="AA19" i="1"/>
  <c r="AG19" i="1" s="1"/>
  <c r="AA20" i="1"/>
  <c r="AA21" i="1"/>
  <c r="AG21" i="1" s="1"/>
  <c r="AA22" i="1"/>
  <c r="AA23" i="1"/>
  <c r="AA24" i="1"/>
  <c r="AG24" i="1" s="1"/>
  <c r="AA25" i="1"/>
  <c r="AA26" i="1"/>
  <c r="AA27" i="1"/>
  <c r="AG27" i="1" s="1"/>
  <c r="AA28" i="1"/>
  <c r="AA29" i="1"/>
  <c r="AG29" i="1" s="1"/>
  <c r="AA30" i="1"/>
  <c r="AG30" i="1" s="1"/>
  <c r="AB30" i="1"/>
  <c r="AA31" i="1"/>
  <c r="AA32" i="1"/>
  <c r="AA33" i="1"/>
  <c r="AG33" i="1" s="1"/>
  <c r="AA34" i="1"/>
  <c r="AG34" i="1" s="1"/>
  <c r="AA35" i="1"/>
  <c r="AA36" i="1"/>
  <c r="AA37" i="1"/>
  <c r="AA38" i="1"/>
  <c r="AG38" i="1" s="1"/>
  <c r="AA39" i="1"/>
  <c r="AG39" i="1" s="1"/>
  <c r="AB39" i="1"/>
  <c r="AA40" i="1"/>
  <c r="AG40" i="1" s="1"/>
  <c r="AB40" i="1"/>
  <c r="AA41" i="1"/>
  <c r="AG41" i="1" s="1"/>
  <c r="AA42" i="1"/>
  <c r="AA43" i="1"/>
  <c r="AG43" i="1" s="1"/>
  <c r="AA44" i="1"/>
  <c r="AG44" i="1" s="1"/>
  <c r="AA45" i="1"/>
  <c r="AG45" i="1" s="1"/>
  <c r="AA46" i="1"/>
  <c r="AA47" i="1"/>
  <c r="AG47" i="1" s="1"/>
  <c r="AA48" i="1"/>
  <c r="AG48" i="1" s="1"/>
  <c r="AA49" i="1"/>
  <c r="AA50" i="1"/>
  <c r="AA51" i="1"/>
  <c r="AA52" i="1"/>
  <c r="AA53" i="1"/>
  <c r="AG53" i="1" s="1"/>
  <c r="AA54" i="1"/>
  <c r="AA55" i="1"/>
  <c r="AG55" i="1" s="1"/>
  <c r="AA56" i="1"/>
  <c r="AA57" i="1"/>
  <c r="AA58" i="1"/>
  <c r="AA59" i="1"/>
  <c r="AG59" i="1" s="1"/>
  <c r="AB59" i="1"/>
  <c r="AA60" i="1"/>
  <c r="AG60" i="1" s="1"/>
  <c r="AB60" i="1"/>
  <c r="AA61" i="1"/>
  <c r="AG61" i="1" s="1"/>
  <c r="AA62" i="1"/>
  <c r="AA63" i="1"/>
  <c r="AA64" i="1"/>
  <c r="AA65" i="1"/>
  <c r="AG65" i="1" s="1"/>
  <c r="AA66" i="1"/>
  <c r="AA67" i="1"/>
  <c r="AG67" i="1" s="1"/>
  <c r="AA68" i="1"/>
  <c r="AG68" i="1" s="1"/>
  <c r="AB68" i="1"/>
  <c r="AA69" i="1"/>
  <c r="AG69" i="1" s="1"/>
  <c r="AA70" i="1"/>
  <c r="AG70" i="1" s="1"/>
  <c r="AA71" i="1"/>
  <c r="AG71" i="1" s="1"/>
  <c r="AA72" i="1"/>
  <c r="AG72" i="1" s="1"/>
  <c r="AA73" i="1"/>
  <c r="AA74" i="1"/>
  <c r="AG74" i="1" s="1"/>
  <c r="AA75" i="1"/>
  <c r="AA76" i="1"/>
  <c r="AG76" i="1" s="1"/>
  <c r="AA77" i="1"/>
  <c r="AA78" i="1"/>
  <c r="AG78" i="1" s="1"/>
  <c r="AB78" i="1"/>
  <c r="AA79" i="1"/>
  <c r="AG79" i="1" s="1"/>
  <c r="AA80" i="1"/>
  <c r="AA81" i="1"/>
  <c r="AG81" i="1" s="1"/>
  <c r="AA82" i="1"/>
  <c r="AG82" i="1" s="1"/>
  <c r="AA83" i="1"/>
  <c r="AA84" i="1"/>
  <c r="AG84" i="1" s="1"/>
  <c r="AA85" i="1"/>
  <c r="AG85" i="1" s="1"/>
  <c r="AA86" i="1"/>
  <c r="AG86" i="1" s="1"/>
  <c r="AA87" i="1"/>
  <c r="AG87" i="1" s="1"/>
  <c r="AB87" i="1"/>
  <c r="AA88" i="1"/>
  <c r="AA89" i="1"/>
  <c r="AG89" i="1" s="1"/>
  <c r="AA90" i="1"/>
  <c r="AG90" i="1" s="1"/>
  <c r="AA91" i="1"/>
  <c r="AA92" i="1"/>
  <c r="AG92" i="1" s="1"/>
  <c r="AA93" i="1"/>
  <c r="AG93" i="1" s="1"/>
  <c r="AA94" i="1"/>
  <c r="AG94" i="1" s="1"/>
  <c r="AA95" i="1"/>
  <c r="AG95" i="1" s="1"/>
  <c r="AA96" i="1"/>
  <c r="AG96" i="1" s="1"/>
  <c r="AA97" i="1"/>
  <c r="AA98" i="1"/>
  <c r="AA99" i="1"/>
  <c r="AG99" i="1" s="1"/>
  <c r="AA100" i="1"/>
  <c r="AG100" i="1" s="1"/>
  <c r="AB100" i="1"/>
  <c r="AA101" i="1"/>
  <c r="AG101" i="1" s="1"/>
  <c r="AB101" i="1"/>
  <c r="AA102" i="1"/>
  <c r="AA103" i="1"/>
  <c r="AA104" i="1"/>
  <c r="AG104" i="1" s="1"/>
  <c r="AA105" i="1"/>
  <c r="AA106" i="1"/>
  <c r="AG106" i="1" s="1"/>
  <c r="AA107" i="1"/>
  <c r="AA108" i="1"/>
  <c r="AA109" i="1"/>
  <c r="AG109" i="1" s="1"/>
  <c r="AA110" i="1"/>
  <c r="AG110" i="1" s="1"/>
  <c r="AA111" i="1"/>
  <c r="AG111" i="1" s="1"/>
  <c r="AA112" i="1"/>
  <c r="AA113" i="1"/>
  <c r="AG113" i="1" s="1"/>
  <c r="AA114" i="1"/>
  <c r="AA115" i="1"/>
  <c r="AA116" i="1"/>
  <c r="AG116" i="1" s="1"/>
  <c r="AA117" i="1"/>
  <c r="AA118" i="1"/>
  <c r="AA119" i="1"/>
  <c r="AG119" i="1" s="1"/>
  <c r="AA120" i="1"/>
  <c r="AA121" i="1"/>
  <c r="AG121" i="1" s="1"/>
  <c r="AB121" i="1"/>
  <c r="AA122" i="1"/>
  <c r="AA123" i="1"/>
  <c r="AA124" i="1"/>
  <c r="AG124" i="1" s="1"/>
  <c r="AA125" i="1"/>
  <c r="AA126" i="1"/>
  <c r="AG126" i="1" s="1"/>
  <c r="AA127" i="1"/>
  <c r="AG127" i="1" s="1"/>
  <c r="AB127" i="1"/>
  <c r="AA128" i="1"/>
  <c r="AG128" i="1" s="1"/>
  <c r="AA129" i="1"/>
  <c r="AA130" i="1"/>
  <c r="AA131" i="1"/>
  <c r="AA132" i="1"/>
  <c r="AA133" i="1"/>
  <c r="AG133" i="1" s="1"/>
  <c r="AA134" i="1"/>
  <c r="AA135" i="1"/>
  <c r="AG135" i="1" s="1"/>
  <c r="AA136" i="1"/>
  <c r="AG136" i="1" s="1"/>
  <c r="AA137" i="1"/>
  <c r="AG137" i="1" s="1"/>
  <c r="AA138" i="1"/>
  <c r="AG138" i="1" s="1"/>
  <c r="AA139" i="1"/>
  <c r="AG139" i="1" s="1"/>
  <c r="AA140" i="1"/>
  <c r="AG140" i="1" s="1"/>
  <c r="AA141" i="1"/>
  <c r="AG141" i="1" s="1"/>
  <c r="AA142" i="1"/>
  <c r="AG142" i="1" s="1"/>
  <c r="AB142" i="1"/>
  <c r="AA143" i="1"/>
  <c r="AA144" i="1"/>
  <c r="AA145" i="1"/>
  <c r="AG145" i="1" s="1"/>
  <c r="AA146" i="1"/>
  <c r="AA147" i="1"/>
  <c r="AA148" i="1"/>
  <c r="AA149" i="1"/>
  <c r="AA150" i="1"/>
  <c r="AG150" i="1" s="1"/>
  <c r="AA151" i="1"/>
  <c r="AA152" i="1"/>
  <c r="AG152" i="1" s="1"/>
  <c r="AA153" i="1"/>
  <c r="AA154" i="1"/>
  <c r="AA155" i="1"/>
  <c r="AA156" i="1"/>
  <c r="AG156" i="1" s="1"/>
  <c r="AA157" i="1"/>
  <c r="AA158" i="1"/>
  <c r="AA159" i="1"/>
  <c r="AG159" i="1" s="1"/>
  <c r="AA160" i="1"/>
  <c r="AA161" i="1"/>
  <c r="AA162" i="1"/>
  <c r="AG162" i="1" s="1"/>
  <c r="AA163" i="1"/>
  <c r="AA164" i="1"/>
  <c r="AG164" i="1" s="1"/>
  <c r="AA165" i="1"/>
  <c r="AA166" i="1"/>
  <c r="AG166" i="1" s="1"/>
  <c r="AA167" i="1"/>
  <c r="AG167" i="1" s="1"/>
  <c r="AA168" i="1"/>
  <c r="AA169" i="1"/>
  <c r="AA170" i="1"/>
  <c r="AA171" i="1"/>
  <c r="AA172" i="1"/>
  <c r="AA173" i="1"/>
  <c r="AA174" i="1"/>
  <c r="AG174" i="1" s="1"/>
  <c r="AA175" i="1"/>
  <c r="AA176" i="1"/>
  <c r="AG176" i="1" s="1"/>
  <c r="AA177" i="1"/>
  <c r="AG177" i="1" s="1"/>
  <c r="AA178" i="1"/>
  <c r="AG178" i="1" s="1"/>
  <c r="AA179" i="1"/>
  <c r="AA180" i="1"/>
  <c r="AG180" i="1" s="1"/>
  <c r="AA181" i="1"/>
  <c r="AA182" i="1"/>
  <c r="AA183" i="1"/>
  <c r="AG183" i="1" s="1"/>
  <c r="AA184" i="1"/>
  <c r="AG184" i="1" s="1"/>
  <c r="AB184" i="1"/>
  <c r="AA185" i="1"/>
  <c r="AA186" i="1"/>
  <c r="AA187" i="1"/>
  <c r="AA188" i="1"/>
  <c r="AA189" i="1"/>
  <c r="AA190" i="1"/>
  <c r="AG190" i="1" s="1"/>
  <c r="AA191" i="1"/>
  <c r="AA192" i="1"/>
  <c r="AA193" i="1"/>
  <c r="AG193" i="1" s="1"/>
  <c r="AB193" i="1"/>
  <c r="AA194" i="1"/>
  <c r="AA195" i="1"/>
  <c r="AA196" i="1"/>
  <c r="AG196" i="1" s="1"/>
  <c r="AA197" i="1"/>
  <c r="AG197" i="1" s="1"/>
  <c r="AA198" i="1"/>
  <c r="AA199" i="1"/>
  <c r="AG199" i="1" s="1"/>
  <c r="AA200" i="1"/>
  <c r="AA201" i="1"/>
  <c r="AG201" i="1" s="1"/>
  <c r="AA202" i="1"/>
  <c r="AG202" i="1" s="1"/>
  <c r="AB202" i="1"/>
  <c r="AA203" i="1"/>
  <c r="AA204" i="1"/>
  <c r="AG204" i="1" s="1"/>
  <c r="AA205" i="1"/>
  <c r="AA206" i="1"/>
  <c r="AA207" i="1"/>
  <c r="AA208" i="1"/>
  <c r="AA209" i="1"/>
  <c r="AA210" i="1"/>
  <c r="AG210" i="1" s="1"/>
  <c r="AA211" i="1"/>
  <c r="AA212" i="1"/>
  <c r="AG212" i="1" s="1"/>
  <c r="AB212" i="1"/>
  <c r="AA213" i="1"/>
  <c r="AG213" i="1" s="1"/>
  <c r="AA214" i="1"/>
  <c r="AA215" i="1"/>
  <c r="AA216" i="1"/>
  <c r="AA217" i="1"/>
  <c r="AA218" i="1"/>
  <c r="AG218" i="1" s="1"/>
  <c r="AA219" i="1"/>
  <c r="AA220" i="1"/>
  <c r="AA221" i="1"/>
  <c r="AA222" i="1"/>
  <c r="AG222" i="1" s="1"/>
  <c r="AA223" i="1"/>
  <c r="AA224" i="1"/>
  <c r="AA225" i="1"/>
  <c r="AG225" i="1" s="1"/>
  <c r="AA226" i="1"/>
  <c r="AA227" i="1"/>
  <c r="AA228" i="1"/>
  <c r="AA229" i="1"/>
  <c r="AG229" i="1" s="1"/>
  <c r="AB230" i="1"/>
  <c r="AB464" i="1"/>
  <c r="AB474" i="1"/>
  <c r="AB478" i="1"/>
  <c r="AB481" i="1"/>
  <c r="AB485" i="1"/>
  <c r="AB489" i="1"/>
  <c r="AB493" i="1"/>
  <c r="AB497" i="1"/>
  <c r="AB500" i="1"/>
  <c r="AB504" i="1"/>
  <c r="AB507" i="1"/>
  <c r="AB516" i="1"/>
  <c r="AB518" i="1"/>
  <c r="AB521" i="1"/>
  <c r="AB525" i="1"/>
  <c r="AB529" i="1"/>
  <c r="AB535" i="1"/>
  <c r="AB538" i="1"/>
  <c r="AB541" i="1"/>
  <c r="AB545" i="1"/>
  <c r="AB549" i="1"/>
  <c r="AB553" i="1"/>
  <c r="AB559" i="1"/>
  <c r="AB562" i="1"/>
  <c r="AB567" i="1"/>
  <c r="AB571" i="1"/>
  <c r="AB575" i="1"/>
  <c r="AB578" i="1"/>
  <c r="AB582" i="1"/>
  <c r="AB583" i="1"/>
  <c r="AB587" i="1"/>
  <c r="AB589" i="1"/>
  <c r="AB593" i="1"/>
  <c r="AB601" i="1"/>
  <c r="AB607" i="1"/>
  <c r="AB610" i="1"/>
  <c r="AB614" i="1"/>
  <c r="AB619" i="1"/>
  <c r="AB622" i="1"/>
  <c r="AB625" i="1"/>
  <c r="AB629" i="1"/>
  <c r="AB632" i="1"/>
  <c r="AB635" i="1"/>
  <c r="AB639" i="1"/>
  <c r="AB647" i="1"/>
  <c r="AB649" i="1"/>
  <c r="AB653" i="1"/>
  <c r="AB654" i="1"/>
  <c r="AB889" i="1"/>
  <c r="AB463" i="1"/>
  <c r="AB469" i="1"/>
  <c r="AB473" i="1"/>
  <c r="AB476" i="1"/>
  <c r="AB482" i="1"/>
  <c r="AB486" i="1"/>
  <c r="AB492" i="1"/>
  <c r="AB494" i="1"/>
  <c r="AB498" i="1"/>
  <c r="AB503" i="1"/>
  <c r="AB512" i="1"/>
  <c r="AB520" i="1"/>
  <c r="AB523" i="1"/>
  <c r="AB526" i="1"/>
  <c r="AB530" i="1"/>
  <c r="AB536" i="1"/>
  <c r="AB540" i="1"/>
  <c r="AB542" i="1"/>
  <c r="AB546" i="1"/>
  <c r="AB550" i="1"/>
  <c r="AB554" i="1"/>
  <c r="AB557" i="1"/>
  <c r="AB561" i="1"/>
  <c r="AB565" i="1"/>
  <c r="AB569" i="1"/>
  <c r="AB574" i="1"/>
  <c r="AB577" i="1"/>
  <c r="AB581" i="1"/>
  <c r="AB584" i="1"/>
  <c r="AB588" i="1"/>
  <c r="AB592" i="1"/>
  <c r="AB596" i="1"/>
  <c r="AB605" i="1"/>
  <c r="AB609" i="1"/>
  <c r="AB613" i="1"/>
  <c r="AB615" i="1"/>
  <c r="AB618" i="1"/>
  <c r="AB623" i="1"/>
  <c r="AB626" i="1"/>
  <c r="AB630" i="1"/>
  <c r="AB631" i="1"/>
  <c r="AB636" i="1"/>
  <c r="AB640" i="1"/>
  <c r="AB648" i="1"/>
  <c r="AB652" i="1"/>
  <c r="AB658" i="1"/>
  <c r="AB886" i="1"/>
  <c r="AB465" i="1"/>
  <c r="AB470" i="1"/>
  <c r="AB475" i="1"/>
  <c r="AB479" i="1"/>
  <c r="AB483" i="1"/>
  <c r="AB487" i="1"/>
  <c r="AB490" i="1"/>
  <c r="AB496" i="1"/>
  <c r="AB505" i="1"/>
  <c r="AB508" i="1"/>
  <c r="AB514" i="1"/>
  <c r="AB519" i="1"/>
  <c r="AB524" i="1"/>
  <c r="AB528" i="1"/>
  <c r="AB532" i="1"/>
  <c r="AB539" i="1"/>
  <c r="AB544" i="1"/>
  <c r="AB547" i="1"/>
  <c r="AB551" i="1"/>
  <c r="AB563" i="1"/>
  <c r="AB566" i="1"/>
  <c r="AB570" i="1"/>
  <c r="AB573" i="1"/>
  <c r="AB580" i="1"/>
  <c r="AB585" i="1"/>
  <c r="AB590" i="1"/>
  <c r="AB594" i="1"/>
  <c r="AB597" i="1"/>
  <c r="AB603" i="1"/>
  <c r="AB606" i="1"/>
  <c r="AB624" i="1"/>
  <c r="AB628" i="1"/>
  <c r="AB638" i="1"/>
  <c r="AB650" i="1"/>
  <c r="AB656" i="1"/>
  <c r="AB884" i="1"/>
  <c r="AB890" i="1"/>
  <c r="AB460" i="1"/>
  <c r="AB462" i="1"/>
  <c r="AB471" i="1"/>
  <c r="AB477" i="1"/>
  <c r="AB480" i="1"/>
  <c r="AB484" i="1"/>
  <c r="AB491" i="1"/>
  <c r="AB495" i="1"/>
  <c r="AB499" i="1"/>
  <c r="AB509" i="1"/>
  <c r="AB513" i="1"/>
  <c r="AB517" i="1"/>
  <c r="AB522" i="1"/>
  <c r="AB527" i="1"/>
  <c r="AB531" i="1"/>
  <c r="AB537" i="1"/>
  <c r="AB543" i="1"/>
  <c r="AB548" i="1"/>
  <c r="AB552" i="1"/>
  <c r="AB564" i="1"/>
  <c r="AB568" i="1"/>
  <c r="AB572" i="1"/>
  <c r="AB579" i="1"/>
  <c r="AB586" i="1"/>
  <c r="AB591" i="1"/>
  <c r="AB595" i="1"/>
  <c r="AB598" i="1"/>
  <c r="AB602" i="1"/>
  <c r="AB608" i="1"/>
  <c r="AB617" i="1"/>
  <c r="AB621" i="1"/>
  <c r="AB627" i="1"/>
  <c r="AB633" i="1"/>
  <c r="AB637" i="1"/>
  <c r="AB641" i="1"/>
  <c r="AB651" i="1"/>
  <c r="AB657" i="1"/>
  <c r="AB891" i="1"/>
  <c r="AB167" i="1" l="1"/>
  <c r="AB104" i="1"/>
  <c r="AB364" i="1"/>
  <c r="AB326" i="1"/>
  <c r="AB576" i="1"/>
  <c r="AB600" i="1"/>
  <c r="AB322" i="1"/>
  <c r="AB282" i="1"/>
  <c r="AB767" i="1"/>
  <c r="AB180" i="1"/>
  <c r="AB378" i="1"/>
  <c r="AB263" i="1"/>
  <c r="AB466" i="1"/>
  <c r="AB413" i="1"/>
  <c r="AB33" i="1"/>
  <c r="AB754" i="1"/>
  <c r="AB646" i="1"/>
  <c r="AB831" i="1"/>
  <c r="AB556" i="1"/>
  <c r="AB210" i="1"/>
  <c r="AB407" i="1"/>
  <c r="AB350" i="1"/>
  <c r="AB187" i="1"/>
  <c r="AG187" i="1"/>
  <c r="AB50" i="1"/>
  <c r="AG50" i="1"/>
  <c r="AB186" i="1"/>
  <c r="AG186" i="1"/>
  <c r="AB446" i="1"/>
  <c r="AG446" i="1"/>
  <c r="AB908" i="1"/>
  <c r="AG908" i="1"/>
  <c r="AB205" i="1"/>
  <c r="AG205" i="1"/>
  <c r="AB778" i="1"/>
  <c r="AG778" i="1"/>
  <c r="AB369" i="1"/>
  <c r="AG369" i="1"/>
  <c r="AB239" i="1"/>
  <c r="AG239" i="1"/>
  <c r="AB259" i="1"/>
  <c r="AG259" i="1"/>
  <c r="AB660" i="1"/>
  <c r="AG660" i="1"/>
  <c r="AB813" i="1"/>
  <c r="AG813" i="1"/>
  <c r="AB221" i="1"/>
  <c r="AG221" i="1"/>
  <c r="AB103" i="1"/>
  <c r="AG103" i="1"/>
  <c r="AB422" i="1"/>
  <c r="AG422" i="1"/>
  <c r="AB258" i="1"/>
  <c r="AG258" i="1"/>
  <c r="AB365" i="1"/>
  <c r="AG365" i="1"/>
  <c r="AB291" i="1"/>
  <c r="AG291" i="1"/>
  <c r="AB722" i="1"/>
  <c r="AG722" i="1"/>
  <c r="AB273" i="1"/>
  <c r="AG273" i="1"/>
  <c r="AB256" i="1"/>
  <c r="AG256" i="1"/>
  <c r="AB909" i="1"/>
  <c r="AG909" i="1"/>
  <c r="AB5" i="1"/>
  <c r="AG5" i="1"/>
  <c r="AB311" i="1"/>
  <c r="AG311" i="1"/>
  <c r="AB235" i="1"/>
  <c r="AG235" i="1"/>
  <c r="AB819" i="1"/>
  <c r="AB814" i="1"/>
  <c r="AG814" i="1"/>
  <c r="AB227" i="1"/>
  <c r="AG227" i="1"/>
  <c r="AB388" i="1"/>
  <c r="AG388" i="1"/>
  <c r="AB226" i="1"/>
  <c r="AG226" i="1"/>
  <c r="AB107" i="1"/>
  <c r="AG107" i="1"/>
  <c r="AB10" i="1"/>
  <c r="AG10" i="1"/>
  <c r="AB371" i="1"/>
  <c r="AG371" i="1"/>
  <c r="AB242" i="1"/>
  <c r="AG242" i="1"/>
  <c r="AB370" i="1"/>
  <c r="AG370" i="1"/>
  <c r="AB279" i="1"/>
  <c r="AG279" i="1"/>
  <c r="AB686" i="1"/>
  <c r="AG686" i="1"/>
  <c r="AB333" i="1"/>
  <c r="AG333" i="1"/>
  <c r="AB240" i="1"/>
  <c r="AG240" i="1"/>
  <c r="AB730" i="1"/>
  <c r="AG730" i="1"/>
  <c r="AB165" i="1"/>
  <c r="AG165" i="1"/>
  <c r="AB66" i="1"/>
  <c r="AG66" i="1"/>
  <c r="AB444" i="1"/>
  <c r="AG444" i="1"/>
  <c r="AB368" i="1"/>
  <c r="AG368" i="1"/>
  <c r="AB314" i="1"/>
  <c r="AG314" i="1"/>
  <c r="AB260" i="1"/>
  <c r="AG260" i="1"/>
  <c r="AB688" i="1"/>
  <c r="AG688" i="1"/>
  <c r="AB467" i="1"/>
  <c r="AB404" i="1"/>
  <c r="AG404" i="1"/>
  <c r="AB238" i="1"/>
  <c r="AG238" i="1"/>
  <c r="AB757" i="1"/>
  <c r="AG757" i="1"/>
  <c r="AB182" i="1"/>
  <c r="AG182" i="1"/>
  <c r="AB102" i="1"/>
  <c r="AG102" i="1"/>
  <c r="AB441" i="1"/>
  <c r="AG441" i="1"/>
  <c r="AB219" i="1"/>
  <c r="AG219" i="1"/>
  <c r="AB161" i="1"/>
  <c r="AG161" i="1"/>
  <c r="AB604" i="1"/>
  <c r="AB23" i="1"/>
  <c r="AG23" i="1"/>
  <c r="AB439" i="1"/>
  <c r="AG439" i="1"/>
  <c r="AB400" i="1"/>
  <c r="AG400" i="1"/>
  <c r="AB327" i="1"/>
  <c r="AG327" i="1"/>
  <c r="AB310" i="1"/>
  <c r="AG310" i="1"/>
  <c r="AB272" i="1"/>
  <c r="AG272" i="1"/>
  <c r="AB755" i="1"/>
  <c r="AG755" i="1"/>
  <c r="AB515" i="1"/>
  <c r="AB217" i="1"/>
  <c r="AG217" i="1"/>
  <c r="AB179" i="1"/>
  <c r="AG179" i="1"/>
  <c r="AB418" i="1"/>
  <c r="AG418" i="1"/>
  <c r="AB381" i="1"/>
  <c r="AG381" i="1"/>
  <c r="AB363" i="1"/>
  <c r="AG363" i="1"/>
  <c r="AB309" i="1"/>
  <c r="AG309" i="1"/>
  <c r="AB288" i="1"/>
  <c r="AG288" i="1"/>
  <c r="AB255" i="1"/>
  <c r="AG255" i="1"/>
  <c r="AB234" i="1"/>
  <c r="AG234" i="1"/>
  <c r="AB560" i="1"/>
  <c r="AB216" i="1"/>
  <c r="AG216" i="1"/>
  <c r="AB158" i="1"/>
  <c r="AG158" i="1"/>
  <c r="AB138" i="1"/>
  <c r="AB21" i="1"/>
  <c r="AB458" i="1"/>
  <c r="AG458" i="1"/>
  <c r="AB437" i="1"/>
  <c r="AG437" i="1"/>
  <c r="AB417" i="1"/>
  <c r="AG417" i="1"/>
  <c r="AB398" i="1"/>
  <c r="AG398" i="1"/>
  <c r="AB380" i="1"/>
  <c r="AB308" i="1"/>
  <c r="AB287" i="1"/>
  <c r="AB254" i="1"/>
  <c r="AG254" i="1"/>
  <c r="AB233" i="1"/>
  <c r="AB788" i="1"/>
  <c r="AG788" i="1"/>
  <c r="AB427" i="1"/>
  <c r="AG427" i="1"/>
  <c r="AB298" i="1"/>
  <c r="AG298" i="1"/>
  <c r="AB88" i="1"/>
  <c r="AG88" i="1"/>
  <c r="AB297" i="1"/>
  <c r="AG297" i="1"/>
  <c r="AB146" i="1"/>
  <c r="AG146" i="1"/>
  <c r="AB862" i="1"/>
  <c r="AG862" i="1"/>
  <c r="AB501" i="1"/>
  <c r="AB105" i="1"/>
  <c r="AG105" i="1"/>
  <c r="AB800" i="1"/>
  <c r="AG800" i="1"/>
  <c r="AB907" i="1"/>
  <c r="AG907" i="1"/>
  <c r="AB203" i="1"/>
  <c r="AG203" i="1"/>
  <c r="AB46" i="1"/>
  <c r="AG46" i="1"/>
  <c r="AB294" i="1"/>
  <c r="AG294" i="1"/>
  <c r="AB163" i="1"/>
  <c r="AG163" i="1"/>
  <c r="AB349" i="1"/>
  <c r="AG349" i="1"/>
  <c r="AB885" i="1"/>
  <c r="AB181" i="1"/>
  <c r="AG181" i="1"/>
  <c r="AB63" i="1"/>
  <c r="AG63" i="1"/>
  <c r="AB402" i="1"/>
  <c r="AG402" i="1"/>
  <c r="AB312" i="1"/>
  <c r="AG312" i="1"/>
  <c r="AB62" i="1"/>
  <c r="AG62" i="1"/>
  <c r="AB42" i="1"/>
  <c r="AG42" i="1"/>
  <c r="AB440" i="1"/>
  <c r="AG440" i="1"/>
  <c r="AB420" i="1"/>
  <c r="AG420" i="1"/>
  <c r="AB290" i="1"/>
  <c r="AG290" i="1"/>
  <c r="AB236" i="1"/>
  <c r="AG236" i="1"/>
  <c r="AB855" i="1"/>
  <c r="AG855" i="1"/>
  <c r="AB160" i="1"/>
  <c r="AG160" i="1"/>
  <c r="AB419" i="1"/>
  <c r="AG419" i="1"/>
  <c r="AB382" i="1"/>
  <c r="AG382" i="1"/>
  <c r="AB347" i="1"/>
  <c r="AG347" i="1"/>
  <c r="AB289" i="1"/>
  <c r="AG289" i="1"/>
  <c r="AB599" i="1"/>
  <c r="AB198" i="1"/>
  <c r="AG198" i="1"/>
  <c r="AB120" i="1"/>
  <c r="AG120" i="1"/>
  <c r="AB80" i="1"/>
  <c r="AG80" i="1"/>
  <c r="AB22" i="1"/>
  <c r="AG22" i="1"/>
  <c r="AB438" i="1"/>
  <c r="AG438" i="1"/>
  <c r="AB399" i="1"/>
  <c r="AG399" i="1"/>
  <c r="AB645" i="1"/>
  <c r="AB510" i="1"/>
  <c r="AB325" i="1"/>
  <c r="AG325" i="1"/>
  <c r="AB253" i="1"/>
  <c r="AG253" i="1"/>
  <c r="AB799" i="1"/>
  <c r="AG799" i="1"/>
  <c r="AB897" i="1"/>
  <c r="AG897" i="1"/>
  <c r="AB207" i="1"/>
  <c r="AG207" i="1"/>
  <c r="AB148" i="1"/>
  <c r="AG148" i="1"/>
  <c r="AB31" i="1"/>
  <c r="AG31" i="1"/>
  <c r="AB317" i="1"/>
  <c r="AG317" i="1"/>
  <c r="AB243" i="1"/>
  <c r="AG243" i="1"/>
  <c r="AB206" i="1"/>
  <c r="AG206" i="1"/>
  <c r="AB49" i="1"/>
  <c r="AG49" i="1"/>
  <c r="AB335" i="1"/>
  <c r="AG335" i="1"/>
  <c r="AB2" i="1"/>
  <c r="AG2" i="1"/>
  <c r="AB386" i="1"/>
  <c r="AG386" i="1"/>
  <c r="AB241" i="1"/>
  <c r="AG241" i="1"/>
  <c r="AB406" i="1"/>
  <c r="AG406" i="1"/>
  <c r="AB223" i="1"/>
  <c r="AG223" i="1"/>
  <c r="AB125" i="1"/>
  <c r="AG125" i="1"/>
  <c r="AB277" i="1"/>
  <c r="AG277" i="1"/>
  <c r="AB123" i="1"/>
  <c r="AG123" i="1"/>
  <c r="AB220" i="1"/>
  <c r="AG220" i="1"/>
  <c r="AB122" i="1"/>
  <c r="AG122" i="1"/>
  <c r="AB83" i="1"/>
  <c r="AG83" i="1"/>
  <c r="AB25" i="1"/>
  <c r="AG25" i="1"/>
  <c r="AB421" i="1"/>
  <c r="AG421" i="1"/>
  <c r="AB274" i="1"/>
  <c r="AG274" i="1"/>
  <c r="AB558" i="1"/>
  <c r="AB200" i="1"/>
  <c r="AG200" i="1"/>
  <c r="AB401" i="1"/>
  <c r="AG401" i="1"/>
  <c r="AB328" i="1"/>
  <c r="AG328" i="1"/>
  <c r="AB845" i="1"/>
  <c r="AB555" i="1"/>
  <c r="AB461" i="1"/>
  <c r="AB643" i="1"/>
  <c r="AB215" i="1"/>
  <c r="AG215" i="1"/>
  <c r="AB157" i="1"/>
  <c r="AG157" i="1"/>
  <c r="AB118" i="1"/>
  <c r="AG118" i="1"/>
  <c r="AB457" i="1"/>
  <c r="AG457" i="1"/>
  <c r="AB436" i="1"/>
  <c r="AG436" i="1"/>
  <c r="AB416" i="1"/>
  <c r="AG416" i="1"/>
  <c r="AB397" i="1"/>
  <c r="AG397" i="1"/>
  <c r="AB345" i="1"/>
  <c r="AG345" i="1"/>
  <c r="AB703" i="1"/>
  <c r="AB644" i="1"/>
  <c r="AB888" i="1"/>
  <c r="AB506" i="1"/>
  <c r="AB214" i="1"/>
  <c r="AG214" i="1"/>
  <c r="AB195" i="1"/>
  <c r="AG195" i="1"/>
  <c r="AB176" i="1"/>
  <c r="AB156" i="1"/>
  <c r="AB117" i="1"/>
  <c r="AG117" i="1"/>
  <c r="AB98" i="1"/>
  <c r="AG98" i="1"/>
  <c r="AB20" i="1"/>
  <c r="AG20" i="1"/>
  <c r="AB456" i="1"/>
  <c r="AG456" i="1"/>
  <c r="AB435" i="1"/>
  <c r="AB415" i="1"/>
  <c r="AG415" i="1"/>
  <c r="AB396" i="1"/>
  <c r="AG396" i="1"/>
  <c r="AB379" i="1"/>
  <c r="AG379" i="1"/>
  <c r="AB360" i="1"/>
  <c r="AB344" i="1"/>
  <c r="AG344" i="1"/>
  <c r="AB324" i="1"/>
  <c r="AG324" i="1"/>
  <c r="AB307" i="1"/>
  <c r="AG307" i="1"/>
  <c r="AB286" i="1"/>
  <c r="AG286" i="1"/>
  <c r="AB252" i="1"/>
  <c r="AG252" i="1"/>
  <c r="AB232" i="1"/>
  <c r="AG232" i="1"/>
  <c r="AB787" i="1"/>
  <c r="AG787" i="1"/>
  <c r="AB720" i="1"/>
  <c r="AG720" i="1"/>
  <c r="AB262" i="1"/>
  <c r="AG262" i="1"/>
  <c r="AB842" i="1"/>
  <c r="AG842" i="1"/>
  <c r="AB77" i="1"/>
  <c r="AG77" i="1"/>
  <c r="AB434" i="1"/>
  <c r="AG434" i="1"/>
  <c r="AB35" i="1"/>
  <c r="AG35" i="1"/>
  <c r="AB731" i="1"/>
  <c r="AG731" i="1"/>
  <c r="AB796" i="1"/>
  <c r="AG796" i="1"/>
  <c r="AB11" i="1"/>
  <c r="AG11" i="1"/>
  <c r="AB426" i="1"/>
  <c r="AG426" i="1"/>
  <c r="AB830" i="1"/>
  <c r="AG830" i="1"/>
  <c r="AB185" i="1"/>
  <c r="AG185" i="1"/>
  <c r="AB425" i="1"/>
  <c r="AG425" i="1"/>
  <c r="AB296" i="1"/>
  <c r="AG296" i="1"/>
  <c r="AB224" i="1"/>
  <c r="AG224" i="1"/>
  <c r="AB295" i="1"/>
  <c r="AG295" i="1"/>
  <c r="AB678" i="1"/>
  <c r="AG678" i="1"/>
  <c r="AB459" i="1"/>
  <c r="AB28" i="1"/>
  <c r="AG28" i="1"/>
  <c r="AB736" i="1"/>
  <c r="AG736" i="1"/>
  <c r="AB143" i="1"/>
  <c r="AG143" i="1"/>
  <c r="AB442" i="1"/>
  <c r="AG442" i="1"/>
  <c r="AB275" i="1"/>
  <c r="AG275" i="1"/>
  <c r="AB414" i="1"/>
  <c r="AG414" i="1"/>
  <c r="AB323" i="1"/>
  <c r="AG323" i="1"/>
  <c r="AB231" i="1"/>
  <c r="AG231" i="1"/>
  <c r="AB864" i="1"/>
  <c r="AB789" i="1"/>
  <c r="AG789" i="1"/>
  <c r="AB634" i="1"/>
  <c r="AB175" i="1"/>
  <c r="AG175" i="1"/>
  <c r="AB394" i="1"/>
  <c r="AG394" i="1"/>
  <c r="AB359" i="1"/>
  <c r="AG359" i="1"/>
  <c r="AB268" i="1"/>
  <c r="AG268" i="1"/>
  <c r="AB898" i="1"/>
  <c r="AG898" i="1"/>
  <c r="AB56" i="1"/>
  <c r="AG56" i="1"/>
  <c r="AB752" i="1"/>
  <c r="AG752" i="1"/>
  <c r="AB704" i="1"/>
  <c r="AG704" i="1"/>
  <c r="AB108" i="1"/>
  <c r="AG108" i="1"/>
  <c r="AB408" i="1"/>
  <c r="AG408" i="1"/>
  <c r="AB714" i="1"/>
  <c r="AG714" i="1"/>
  <c r="AB387" i="1"/>
  <c r="AG387" i="1"/>
  <c r="AB756" i="1"/>
  <c r="AG756" i="1"/>
  <c r="AB315" i="1"/>
  <c r="AG315" i="1"/>
  <c r="AB261" i="1"/>
  <c r="AG261" i="1"/>
  <c r="AB836" i="1"/>
  <c r="AG836" i="1"/>
  <c r="AB774" i="1"/>
  <c r="AG774" i="1"/>
  <c r="AB443" i="1"/>
  <c r="AG443" i="1"/>
  <c r="AB293" i="1"/>
  <c r="AG293" i="1"/>
  <c r="AB276" i="1"/>
  <c r="AG276" i="1"/>
  <c r="AB820" i="1"/>
  <c r="AG820" i="1"/>
  <c r="AB64" i="1"/>
  <c r="AG64" i="1"/>
  <c r="AB26" i="1"/>
  <c r="AG26" i="1"/>
  <c r="AB6" i="1"/>
  <c r="AG6" i="1"/>
  <c r="AB403" i="1"/>
  <c r="AG403" i="1"/>
  <c r="AB330" i="1"/>
  <c r="AG330" i="1"/>
  <c r="AB292" i="1"/>
  <c r="AG292" i="1"/>
  <c r="AB700" i="1"/>
  <c r="AG700" i="1"/>
  <c r="AB664" i="1"/>
  <c r="AG664" i="1"/>
  <c r="AB697" i="1"/>
  <c r="AG697" i="1"/>
  <c r="AB194" i="1"/>
  <c r="AG194" i="1"/>
  <c r="AB269" i="1"/>
  <c r="AG269" i="1"/>
  <c r="AB155" i="1"/>
  <c r="AG155" i="1"/>
  <c r="AB115" i="1"/>
  <c r="AG115" i="1"/>
  <c r="AB57" i="1"/>
  <c r="AG57" i="1"/>
  <c r="AB777" i="1"/>
  <c r="AB846" i="1"/>
  <c r="AG846" i="1"/>
  <c r="AB472" i="1"/>
  <c r="AB134" i="1"/>
  <c r="AG134" i="1"/>
  <c r="AB75" i="1"/>
  <c r="AG75" i="1"/>
  <c r="AB36" i="1"/>
  <c r="AG36" i="1"/>
  <c r="AB453" i="1"/>
  <c r="AG453" i="1"/>
  <c r="AB433" i="1"/>
  <c r="AG433" i="1"/>
  <c r="AB393" i="1"/>
  <c r="AG393" i="1"/>
  <c r="AB284" i="1"/>
  <c r="AG284" i="1"/>
  <c r="AB267" i="1"/>
  <c r="AG267" i="1"/>
  <c r="AB687" i="1"/>
  <c r="AG687" i="1"/>
  <c r="AB721" i="1"/>
  <c r="AB534" i="1"/>
  <c r="AB468" i="1"/>
  <c r="AB192" i="1"/>
  <c r="AG192" i="1"/>
  <c r="AB452" i="1"/>
  <c r="AG452" i="1"/>
  <c r="AB376" i="1"/>
  <c r="AG376" i="1"/>
  <c r="AB321" i="1"/>
  <c r="AG321" i="1"/>
  <c r="AB283" i="1"/>
  <c r="AG283" i="1"/>
  <c r="AB248" i="1"/>
  <c r="AG248" i="1"/>
  <c r="AB620" i="1"/>
  <c r="AB488" i="1"/>
  <c r="AB191" i="1"/>
  <c r="AG191" i="1"/>
  <c r="AB172" i="1"/>
  <c r="AG172" i="1"/>
  <c r="AB132" i="1"/>
  <c r="AG132" i="1"/>
  <c r="AB73" i="1"/>
  <c r="AG73" i="1"/>
  <c r="AB54" i="1"/>
  <c r="AG54" i="1"/>
  <c r="AB15" i="1"/>
  <c r="AG15" i="1"/>
  <c r="AB320" i="1"/>
  <c r="AG320" i="1"/>
  <c r="AB753" i="1"/>
  <c r="AG753" i="1"/>
  <c r="AB502" i="1"/>
  <c r="AB151" i="1"/>
  <c r="AG151" i="1"/>
  <c r="AB14" i="1"/>
  <c r="AG14" i="1"/>
  <c r="AB430" i="1"/>
  <c r="AG430" i="1"/>
  <c r="AB374" i="1"/>
  <c r="AG374" i="1"/>
  <c r="AB338" i="1"/>
  <c r="AG338" i="1"/>
  <c r="AB319" i="1"/>
  <c r="AG319" i="1"/>
  <c r="AB265" i="1"/>
  <c r="AG265" i="1"/>
  <c r="AB246" i="1"/>
  <c r="AG246" i="1"/>
  <c r="AB775" i="1"/>
  <c r="AG775" i="1"/>
  <c r="AB802" i="1"/>
  <c r="AG802" i="1"/>
  <c r="AB810" i="1"/>
  <c r="AG810" i="1"/>
  <c r="AB168" i="1"/>
  <c r="AG168" i="1"/>
  <c r="AB147" i="1"/>
  <c r="AG147" i="1"/>
  <c r="AB734" i="1"/>
  <c r="AB278" i="1"/>
  <c r="AG278" i="1"/>
  <c r="AB144" i="1"/>
  <c r="AG144" i="1"/>
  <c r="AB405" i="1"/>
  <c r="AG405" i="1"/>
  <c r="AB511" i="1"/>
  <c r="AB423" i="1"/>
  <c r="AG423" i="1"/>
  <c r="AB887" i="1"/>
  <c r="AB97" i="1"/>
  <c r="AG97" i="1"/>
  <c r="AB58" i="1"/>
  <c r="AG58" i="1"/>
  <c r="AB455" i="1"/>
  <c r="AG455" i="1"/>
  <c r="AB395" i="1"/>
  <c r="AG395" i="1"/>
  <c r="AB306" i="1"/>
  <c r="AG306" i="1"/>
  <c r="AB251" i="1"/>
  <c r="AG251" i="1"/>
  <c r="AB37" i="1"/>
  <c r="AG37" i="1"/>
  <c r="AB305" i="1"/>
  <c r="AG305" i="1"/>
  <c r="AB250" i="1"/>
  <c r="AG250" i="1"/>
  <c r="AB723" i="1"/>
  <c r="AG723" i="1"/>
  <c r="AB655" i="1"/>
  <c r="AB154" i="1"/>
  <c r="AG154" i="1"/>
  <c r="AB114" i="1"/>
  <c r="AG114" i="1"/>
  <c r="AB377" i="1"/>
  <c r="AG377" i="1"/>
  <c r="AB304" i="1"/>
  <c r="AG304" i="1"/>
  <c r="AB249" i="1"/>
  <c r="AG249" i="1"/>
  <c r="AB211" i="1"/>
  <c r="AG211" i="1"/>
  <c r="AB173" i="1"/>
  <c r="AG173" i="1"/>
  <c r="AB153" i="1"/>
  <c r="AG153" i="1"/>
  <c r="AB16" i="1"/>
  <c r="AG16" i="1"/>
  <c r="AB432" i="1"/>
  <c r="AG432" i="1"/>
  <c r="AB392" i="1"/>
  <c r="AG392" i="1"/>
  <c r="AB303" i="1"/>
  <c r="AG303" i="1"/>
  <c r="AB766" i="1"/>
  <c r="AG766" i="1"/>
  <c r="AB112" i="1"/>
  <c r="AG112" i="1"/>
  <c r="AB451" i="1"/>
  <c r="AG451" i="1"/>
  <c r="AB431" i="1"/>
  <c r="AG431" i="1"/>
  <c r="AB302" i="1"/>
  <c r="AG302" i="1"/>
  <c r="AB247" i="1"/>
  <c r="AG247" i="1"/>
  <c r="AB863" i="1"/>
  <c r="AB612" i="1"/>
  <c r="AB616" i="1"/>
  <c r="AB642" i="1"/>
  <c r="AB171" i="1"/>
  <c r="AG171" i="1"/>
  <c r="AB131" i="1"/>
  <c r="AG131" i="1"/>
  <c r="AB450" i="1"/>
  <c r="AG450" i="1"/>
  <c r="AB411" i="1"/>
  <c r="AG411" i="1"/>
  <c r="AB301" i="1"/>
  <c r="AG301" i="1"/>
  <c r="AB611" i="1"/>
  <c r="AB209" i="1"/>
  <c r="AG209" i="1"/>
  <c r="AB189" i="1"/>
  <c r="AG189" i="1"/>
  <c r="AB170" i="1"/>
  <c r="AG170" i="1"/>
  <c r="AB130" i="1"/>
  <c r="AG130" i="1"/>
  <c r="AB91" i="1"/>
  <c r="AG91" i="1"/>
  <c r="AB52" i="1"/>
  <c r="AG52" i="1"/>
  <c r="AB449" i="1"/>
  <c r="AG449" i="1"/>
  <c r="AB429" i="1"/>
  <c r="AG429" i="1"/>
  <c r="AB410" i="1"/>
  <c r="AG410" i="1"/>
  <c r="AB390" i="1"/>
  <c r="AG390" i="1"/>
  <c r="AB373" i="1"/>
  <c r="AG373" i="1"/>
  <c r="AB318" i="1"/>
  <c r="AB300" i="1"/>
  <c r="AG300" i="1"/>
  <c r="AB281" i="1"/>
  <c r="AB264" i="1"/>
  <c r="AB245" i="1"/>
  <c r="AG245" i="1"/>
  <c r="AB776" i="1"/>
  <c r="AG776" i="1"/>
  <c r="AB732" i="1"/>
  <c r="AB818" i="1"/>
  <c r="AG818" i="1"/>
  <c r="AB692" i="1"/>
  <c r="AG692" i="1"/>
  <c r="AB454" i="1"/>
  <c r="AG454" i="1"/>
  <c r="AB533" i="1"/>
  <c r="AB228" i="1"/>
  <c r="AG228" i="1"/>
  <c r="AB208" i="1"/>
  <c r="AG208" i="1"/>
  <c r="AB188" i="1"/>
  <c r="AG188" i="1"/>
  <c r="AB169" i="1"/>
  <c r="AG169" i="1"/>
  <c r="AB149" i="1"/>
  <c r="AG149" i="1"/>
  <c r="AB129" i="1"/>
  <c r="AG129" i="1"/>
  <c r="AB51" i="1"/>
  <c r="AG51" i="1"/>
  <c r="AB32" i="1"/>
  <c r="AG32" i="1"/>
  <c r="AB12" i="1"/>
  <c r="AG12" i="1"/>
  <c r="AB448" i="1"/>
  <c r="AG448" i="1"/>
  <c r="AB428" i="1"/>
  <c r="AG428" i="1"/>
  <c r="AB409" i="1"/>
  <c r="AG409" i="1"/>
  <c r="AB389" i="1"/>
  <c r="AG389" i="1"/>
  <c r="AB372" i="1"/>
  <c r="AB336" i="1"/>
  <c r="AB299" i="1"/>
  <c r="AG299" i="1"/>
  <c r="AB244" i="1"/>
  <c r="AG244" i="1"/>
  <c r="AB758" i="1"/>
  <c r="AG758" i="1"/>
  <c r="AB735" i="1"/>
  <c r="AB769" i="1"/>
  <c r="AG769" i="1"/>
  <c r="AB844" i="1"/>
  <c r="AG844" i="1"/>
  <c r="AB329" i="1"/>
  <c r="AB332" i="1"/>
  <c r="AB339" i="1"/>
  <c r="AB342" i="1"/>
  <c r="AB343" i="1"/>
  <c r="AB355" i="1"/>
  <c r="AB358" i="1"/>
  <c r="AB367" i="1"/>
  <c r="AB41" i="1"/>
  <c r="AB48" i="1"/>
  <c r="AB55" i="1"/>
  <c r="AB71" i="1"/>
  <c r="AB82" i="1"/>
  <c r="AB94" i="1"/>
  <c r="AB135" i="1"/>
  <c r="AB139" i="1"/>
  <c r="AB145" i="1"/>
  <c r="AB152" i="1"/>
  <c r="AB166" i="1"/>
  <c r="AB174" i="1"/>
  <c r="AB199" i="1"/>
  <c r="AB204" i="1"/>
  <c r="AB375" i="1"/>
  <c r="AB19" i="1"/>
  <c r="AB27" i="1"/>
  <c r="AB43" i="1"/>
  <c r="AB45" i="1"/>
  <c r="AB67" i="1"/>
  <c r="AB81" i="1"/>
  <c r="AB90" i="1"/>
  <c r="AB96" i="1"/>
  <c r="AB113" i="1"/>
  <c r="AB150" i="1"/>
  <c r="AB159" i="1"/>
  <c r="AB164" i="1"/>
  <c r="AB177" i="1"/>
  <c r="AB183" i="1"/>
  <c r="AB197" i="1"/>
  <c r="AB447" i="1"/>
  <c r="AB4" i="1"/>
  <c r="AB7" i="1"/>
  <c r="AB9" i="1"/>
  <c r="AB13" i="1"/>
  <c r="AB17" i="1"/>
  <c r="AB18" i="1"/>
  <c r="AB24" i="1"/>
  <c r="AB29" i="1"/>
  <c r="AB34" i="1"/>
  <c r="AB38" i="1"/>
  <c r="AB44" i="1"/>
  <c r="AB70" i="1"/>
  <c r="AB72" i="1"/>
  <c r="AB74" i="1"/>
  <c r="AB85" i="1"/>
  <c r="AB92" i="1"/>
  <c r="AB109" i="1"/>
  <c r="AB119" i="1"/>
  <c r="AB124" i="1"/>
  <c r="AB126" i="1"/>
  <c r="AB178" i="1"/>
  <c r="AB196" i="1"/>
  <c r="AB213" i="1"/>
  <c r="AB218" i="1"/>
  <c r="AB222" i="1"/>
  <c r="AB225" i="1"/>
  <c r="AB229" i="1"/>
  <c r="AB341" i="1"/>
  <c r="AB356" i="1"/>
  <c r="AB362" i="1"/>
  <c r="AB79" i="1"/>
  <c r="AB84" i="1"/>
  <c r="AB86" i="1"/>
  <c r="AB89" i="1"/>
  <c r="AB99" i="1"/>
  <c r="AB106" i="1"/>
  <c r="AB110" i="1"/>
  <c r="AB116" i="1"/>
  <c r="AB128" i="1"/>
  <c r="AB133" i="1"/>
  <c r="AB137" i="1"/>
  <c r="AB140" i="1"/>
  <c r="AB162" i="1"/>
  <c r="AB190" i="1"/>
  <c r="AB331" i="1"/>
  <c r="AB334" i="1"/>
  <c r="AB337" i="1"/>
  <c r="AB340" i="1"/>
  <c r="AB351" i="1"/>
  <c r="AB353" i="1"/>
  <c r="AB354" i="1"/>
  <c r="AB361" i="1"/>
  <c r="AB366" i="1"/>
  <c r="AB47" i="1"/>
  <c r="AB53" i="1"/>
  <c r="AB61" i="1"/>
  <c r="AB65" i="1"/>
  <c r="AB69" i="1"/>
  <c r="AB76" i="1"/>
  <c r="AB93" i="1"/>
  <c r="AB95" i="1"/>
  <c r="AB111" i="1"/>
  <c r="AB136" i="1"/>
  <c r="AB141" i="1"/>
  <c r="AB201" i="1"/>
</calcChain>
</file>

<file path=xl/sharedStrings.xml><?xml version="1.0" encoding="utf-8"?>
<sst xmlns="http://schemas.openxmlformats.org/spreadsheetml/2006/main" count="12891" uniqueCount="2800">
  <si>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</si>
  <si>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</si>
  <si>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</si>
  <si>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</si>
  <si>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</si>
  <si>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</si>
  <si>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</si>
  <si>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</si>
  <si>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</si>
  <si>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</si>
  <si>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</si>
  <si>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</si>
  <si>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</si>
  <si>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</si>
  <si>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</si>
  <si>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</si>
  <si>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</si>
  <si>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</si>
  <si>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</si>
  <si>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</si>
  <si>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</si>
  <si>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</si>
  <si>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</si>
  <si>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</si>
  <si>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</si>
  <si>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</si>
  <si>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</si>
  <si>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</si>
  <si>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</si>
  <si>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</si>
  <si>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</si>
  <si>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</si>
  <si>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</si>
  <si>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</si>
  <si>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</si>
  <si>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</si>
  <si>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</si>
  <si>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</si>
  <si>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</si>
  <si>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</si>
  <si>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</si>
  <si>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</si>
  <si>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</si>
  <si>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</si>
  <si>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</si>
  <si>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</si>
  <si>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</si>
  <si>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</si>
  <si>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</si>
  <si>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</si>
  <si>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</si>
  <si>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</si>
  <si>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</si>
  <si>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</si>
  <si>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</si>
  <si>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</si>
  <si>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</si>
  <si>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</si>
  <si>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</si>
  <si>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</si>
  <si>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</si>
  <si>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</si>
  <si>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</si>
  <si>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</si>
  <si>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</si>
  <si>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</si>
  <si>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</si>
  <si>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</si>
  <si>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</si>
  <si>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</si>
  <si>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</si>
  <si>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</si>
  <si>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</si>
  <si>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</si>
  <si>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</si>
  <si>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</si>
  <si>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</si>
  <si>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</si>
  <si>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</si>
  <si>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</si>
  <si>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</si>
  <si>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</si>
  <si>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</si>
  <si>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</si>
  <si>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</si>
  <si>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</si>
  <si>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</si>
  <si>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</si>
  <si>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</si>
  <si>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</si>
  <si>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</si>
  <si>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</si>
  <si>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</si>
  <si>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</si>
  <si>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</si>
  <si>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</si>
  <si>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</si>
  <si>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</si>
  <si>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</si>
  <si>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</si>
  <si>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</si>
  <si>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</si>
  <si>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</si>
  <si>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</si>
  <si>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</si>
  <si>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</si>
  <si>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</si>
  <si>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</si>
  <si>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</si>
  <si>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</si>
  <si>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</si>
  <si>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</si>
  <si>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</si>
  <si>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</si>
  <si>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</si>
  <si>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</si>
  <si>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</si>
  <si>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</si>
  <si>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</si>
  <si>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</si>
  <si>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</si>
  <si>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</si>
  <si>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</si>
  <si>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</si>
  <si>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</si>
  <si>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</si>
  <si>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</si>
  <si>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</si>
  <si>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</si>
  <si>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</si>
  <si>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</si>
  <si>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</si>
  <si>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</si>
  <si>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</si>
  <si>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</si>
  <si>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</si>
  <si>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</si>
  <si>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</si>
  <si>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</si>
  <si>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</si>
  <si>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</si>
  <si>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</si>
  <si>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</si>
  <si>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</si>
  <si>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</si>
  <si>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</si>
  <si>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</si>
  <si>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</si>
  <si>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</si>
  <si>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</si>
  <si>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</si>
  <si>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</si>
  <si>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</si>
  <si>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</si>
  <si>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</si>
  <si>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</si>
  <si>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</si>
  <si>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</si>
  <si>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</si>
  <si>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</si>
  <si>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</si>
  <si>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</si>
  <si>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</si>
  <si>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</si>
  <si>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</si>
  <si>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</si>
  <si>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</si>
  <si>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</si>
  <si>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</si>
  <si>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</si>
  <si>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</si>
  <si>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</si>
  <si>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</si>
  <si>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</si>
  <si>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</si>
  <si>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</si>
  <si>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</si>
  <si>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</si>
  <si>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</si>
  <si>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</si>
  <si>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</si>
  <si>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</si>
  <si>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</si>
  <si>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</si>
  <si>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</si>
  <si>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</si>
  <si>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</si>
  <si>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</si>
  <si>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</si>
  <si>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</si>
  <si>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</si>
  <si>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</si>
  <si>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</si>
  <si>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</si>
  <si>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</si>
  <si>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</si>
  <si>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</si>
  <si>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</si>
  <si>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</si>
  <si>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</si>
  <si>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</si>
  <si>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</si>
  <si>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</si>
  <si>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</si>
  <si>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</si>
  <si>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</si>
  <si>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</si>
  <si>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</si>
  <si>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</si>
  <si>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</si>
  <si>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</si>
  <si>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</si>
  <si>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</si>
  <si>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</si>
  <si>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</si>
  <si>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</si>
  <si>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</si>
  <si>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</si>
  <si>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</si>
  <si>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</si>
  <si>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</si>
  <si>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</si>
  <si>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</si>
  <si>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</si>
  <si>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</si>
  <si>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</si>
  <si>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</si>
  <si>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</si>
  <si>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</si>
  <si>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</si>
  <si>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</si>
  <si>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</si>
  <si>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</si>
  <si>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</si>
  <si>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</si>
  <si>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</si>
  <si>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</si>
  <si>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</si>
  <si>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</si>
  <si>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</si>
  <si>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</si>
  <si>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</si>
  <si>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</si>
  <si>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</si>
  <si>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</si>
  <si>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</si>
  <si>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</si>
  <si>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</si>
  <si>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</si>
  <si>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</si>
  <si>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</si>
  <si>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</si>
  <si>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</si>
  <si>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</si>
  <si>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</si>
  <si>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</si>
  <si>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</si>
  <si>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</si>
  <si>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</si>
  <si>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</si>
  <si>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</si>
  <si>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</si>
  <si>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</si>
  <si>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</si>
  <si>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</si>
  <si>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</si>
  <si>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</si>
  <si>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</si>
  <si>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</si>
  <si>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</si>
  <si>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</si>
  <si>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</si>
  <si>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</si>
  <si>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</si>
  <si>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</si>
  <si>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</si>
  <si>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</si>
  <si>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</si>
  <si>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</si>
  <si>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</si>
  <si>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</si>
  <si>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</si>
  <si>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</si>
  <si>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</si>
  <si>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</si>
  <si>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</si>
  <si>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</si>
  <si>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</si>
  <si>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</si>
  <si>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</si>
  <si>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</si>
  <si>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</si>
  <si>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</si>
  <si>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</si>
  <si>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</si>
  <si>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</si>
  <si>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</si>
  <si>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</si>
  <si>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</si>
  <si>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</si>
  <si>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</si>
  <si>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</si>
  <si>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</si>
  <si>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</si>
  <si>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</si>
  <si>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</si>
  <si>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</si>
  <si>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</si>
  <si>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</si>
  <si>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</si>
  <si>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</si>
  <si>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</si>
  <si>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</si>
  <si>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</si>
  <si>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</si>
  <si>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</si>
  <si>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</si>
  <si>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</si>
  <si>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</si>
  <si>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</si>
  <si>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</si>
  <si>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</si>
  <si>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</si>
  <si>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</si>
  <si>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</si>
  <si>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</si>
  <si>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</si>
  <si>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</si>
  <si>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</si>
  <si>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</si>
  <si>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</si>
  <si>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</si>
  <si>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</si>
  <si>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</si>
  <si>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</si>
  <si>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</si>
  <si>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</si>
  <si>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</si>
  <si>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</si>
  <si>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</si>
  <si>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</si>
  <si>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</si>
  <si>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</si>
  <si>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</si>
  <si>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</si>
  <si>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</si>
  <si>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</si>
  <si>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</si>
  <si>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</si>
  <si>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</si>
  <si>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</si>
  <si>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</si>
  <si>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</si>
  <si>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</si>
  <si>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</si>
  <si>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</si>
  <si>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</si>
  <si>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</si>
  <si>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</si>
  <si>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</si>
  <si>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</si>
  <si>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</si>
  <si>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</si>
  <si>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</si>
  <si>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</si>
  <si>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</si>
  <si>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</si>
  <si>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</si>
  <si>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</si>
  <si>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</si>
  <si>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</si>
  <si>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</si>
  <si>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</si>
  <si>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</si>
  <si>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</si>
  <si>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</si>
  <si>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</si>
  <si>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</si>
  <si>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</si>
  <si>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</si>
  <si>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</si>
  <si>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</si>
  <si>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</si>
  <si>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</si>
  <si>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</si>
  <si>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</si>
  <si>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</si>
  <si>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</si>
  <si>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</si>
  <si>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</si>
  <si>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</si>
  <si>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</si>
  <si>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</si>
  <si>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</si>
  <si>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</si>
  <si>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</si>
  <si>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</si>
  <si>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</si>
  <si>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</si>
  <si>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</si>
  <si>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</si>
  <si>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</si>
  <si>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</si>
  <si>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</si>
  <si>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</si>
  <si>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</si>
  <si>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</si>
  <si>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</si>
  <si>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</si>
  <si>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</si>
  <si>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</si>
  <si>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</si>
  <si>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</si>
  <si>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</si>
  <si>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</si>
  <si>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</si>
  <si>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</si>
  <si>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</si>
  <si>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</si>
  <si>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</si>
  <si>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</si>
  <si>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</si>
  <si>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</si>
  <si>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</si>
  <si>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</si>
  <si>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</si>
  <si>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</si>
  <si>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</si>
  <si>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</si>
  <si>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</si>
  <si>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</si>
  <si>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</si>
  <si>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</si>
  <si>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</si>
  <si>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</si>
  <si>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</si>
  <si>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</si>
  <si>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</si>
  <si>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</si>
  <si>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</si>
  <si>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</si>
  <si>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</si>
  <si>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</si>
  <si>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</si>
  <si>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</si>
  <si>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</si>
  <si>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</si>
  <si>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</si>
  <si>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</si>
  <si>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</si>
  <si>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</si>
  <si>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</si>
  <si>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</si>
  <si>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</si>
  <si>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</si>
  <si>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</si>
  <si>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</si>
  <si>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</si>
  <si>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</si>
  <si>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</si>
  <si>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</si>
  <si>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</si>
  <si>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</si>
  <si>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</si>
  <si>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</si>
  <si>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</si>
  <si>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</si>
  <si>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</si>
  <si>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</si>
  <si>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</si>
  <si>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</si>
  <si>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</si>
  <si>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</si>
  <si>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</si>
  <si>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</si>
  <si>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</si>
  <si>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</si>
  <si>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</si>
  <si>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</si>
  <si>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</si>
  <si>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</si>
  <si>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</si>
  <si>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</si>
  <si>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</si>
  <si>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</si>
  <si>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</si>
  <si>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</si>
  <si>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</si>
  <si>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</si>
  <si>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</si>
  <si>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</si>
  <si>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</si>
  <si>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</si>
  <si>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</si>
  <si>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</si>
  <si>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</si>
  <si>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</si>
  <si>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</si>
  <si>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</si>
  <si>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</si>
  <si>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</si>
  <si>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</si>
  <si>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</si>
  <si>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</si>
  <si>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</si>
  <si>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</si>
  <si>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</si>
  <si>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</si>
  <si>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</si>
  <si>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</si>
  <si>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</si>
  <si>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</si>
  <si>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</si>
  <si>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</si>
  <si>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</si>
  <si>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</si>
  <si>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</si>
  <si>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</si>
  <si>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</si>
  <si>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</si>
  <si>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</si>
  <si>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</si>
  <si>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</si>
  <si>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</si>
  <si>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</si>
  <si>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</si>
  <si>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</si>
  <si>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</si>
  <si>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</si>
  <si>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</si>
  <si>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</si>
  <si>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</si>
  <si>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</si>
  <si>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</si>
  <si>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</si>
  <si>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</si>
  <si>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</si>
  <si>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</si>
  <si>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</si>
  <si>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</si>
  <si>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</si>
  <si>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</si>
  <si>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</si>
  <si>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</si>
  <si>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</si>
  <si>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</si>
  <si>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</si>
  <si>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</si>
  <si>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</si>
  <si>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</si>
  <si>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</si>
  <si>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</si>
  <si>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</si>
  <si>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</si>
  <si>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</si>
  <si>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</si>
  <si>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</si>
  <si>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</si>
  <si>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</si>
  <si>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</si>
  <si>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</si>
  <si>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</si>
  <si>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</si>
  <si>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</si>
  <si>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</si>
  <si>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</si>
  <si>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</si>
  <si>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</si>
  <si>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</si>
  <si>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</si>
  <si>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</si>
  <si>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</si>
  <si>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</si>
  <si>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</si>
  <si>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</si>
  <si>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</si>
  <si>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</si>
  <si>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</si>
  <si>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</si>
  <si>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</si>
  <si>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</si>
  <si>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</si>
  <si>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</si>
  <si>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</si>
  <si>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</si>
  <si>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</si>
  <si>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</si>
  <si>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</si>
  <si>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</si>
  <si>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</si>
  <si>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</si>
  <si>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</si>
  <si>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</si>
  <si>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</si>
  <si>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</si>
  <si>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</si>
  <si>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</si>
  <si>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</si>
  <si>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</si>
  <si>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</si>
  <si>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</si>
  <si>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</si>
  <si>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</si>
  <si>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</si>
  <si>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</si>
  <si>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</si>
  <si>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</si>
  <si>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</si>
  <si>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</si>
  <si>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</si>
  <si>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</si>
  <si>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</si>
  <si>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</si>
  <si>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</si>
  <si>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</si>
  <si>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</si>
  <si>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</si>
  <si>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</si>
  <si>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</si>
  <si>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</si>
  <si>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</si>
  <si>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</si>
  <si>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</si>
  <si>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</si>
  <si>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</si>
  <si>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</si>
  <si>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</si>
  <si>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</si>
  <si>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</si>
  <si>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</si>
  <si>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</si>
  <si>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</si>
  <si>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</si>
  <si>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</si>
  <si>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</si>
  <si>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</si>
  <si>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</si>
  <si>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</si>
  <si>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</si>
  <si>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</si>
  <si>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</si>
  <si>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</si>
  <si>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</si>
  <si>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</si>
  <si>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</si>
  <si>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</si>
  <si>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</si>
  <si>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</si>
  <si>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</si>
  <si>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</si>
  <si>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</si>
  <si>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</si>
  <si>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</si>
  <si>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</si>
  <si>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</si>
  <si>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</si>
  <si>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</si>
  <si>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</si>
  <si>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</si>
  <si>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</si>
  <si>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</si>
  <si>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</si>
  <si>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</si>
  <si>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</si>
  <si>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</si>
  <si>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</si>
  <si>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</si>
  <si>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</si>
  <si>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</si>
  <si>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</si>
  <si>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</si>
  <si>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</si>
  <si>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</si>
  <si>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</si>
  <si>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</si>
  <si>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</si>
  <si>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</si>
  <si>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</si>
  <si>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</si>
  <si>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</si>
  <si>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</si>
  <si>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</si>
  <si>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</si>
  <si>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</si>
  <si>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</si>
  <si>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</si>
  <si>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</si>
  <si>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</si>
  <si>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</si>
  <si>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</si>
  <si>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</si>
  <si>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</si>
  <si>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</si>
  <si>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</si>
  <si>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</si>
  <si>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</si>
  <si>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</si>
  <si>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</si>
  <si>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</si>
  <si>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</si>
  <si>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</si>
  <si>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</si>
  <si>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</si>
  <si>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</si>
  <si>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</si>
  <si>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</si>
  <si>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</si>
  <si>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</si>
  <si>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</si>
  <si>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</si>
  <si>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</si>
  <si>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</si>
  <si>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</si>
  <si>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</si>
  <si>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</si>
  <si>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</si>
  <si>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</si>
  <si>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</si>
  <si>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</si>
  <si>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</si>
  <si>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</si>
  <si>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</si>
  <si>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</si>
  <si>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</si>
  <si>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</si>
  <si>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</si>
  <si>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</si>
  <si>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</si>
  <si>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</si>
  <si>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</si>
  <si>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</si>
  <si>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</si>
  <si>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</si>
  <si>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</si>
  <si>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</si>
  <si>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</si>
  <si>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</si>
  <si>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</si>
  <si>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</si>
  <si>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</si>
  <si>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</si>
  <si>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</si>
  <si>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</si>
  <si>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</si>
  <si>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</si>
  <si>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</si>
  <si>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</si>
  <si>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</si>
  <si>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</si>
  <si>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</si>
  <si>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</si>
  <si>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</si>
  <si>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</si>
  <si>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</si>
  <si>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</si>
  <si>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</si>
  <si>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</si>
  <si>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</si>
  <si>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</si>
  <si>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</si>
  <si>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</si>
  <si>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</si>
  <si>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</si>
  <si>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</si>
  <si>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</si>
  <si>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</si>
  <si>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</si>
  <si>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</si>
  <si>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</si>
  <si>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</si>
  <si>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</si>
  <si>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</si>
  <si>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</si>
  <si>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</si>
  <si>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</si>
  <si>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</si>
  <si>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</si>
  <si>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</si>
  <si>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</si>
  <si>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</si>
  <si>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</si>
  <si>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</si>
  <si>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</si>
  <si>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</si>
  <si>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</si>
  <si>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</si>
  <si>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</si>
  <si>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</si>
  <si>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</si>
  <si>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</si>
  <si>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</si>
  <si>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</si>
  <si>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</si>
  <si>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</si>
  <si>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</si>
  <si>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</si>
  <si>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</si>
  <si>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</si>
  <si>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</si>
  <si>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</si>
  <si>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</si>
  <si>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</si>
  <si>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</si>
  <si>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</si>
  <si>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</si>
  <si>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</si>
  <si>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</si>
  <si>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</si>
  <si>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</si>
  <si>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</si>
  <si>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</si>
  <si>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</si>
  <si>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</si>
  <si>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</si>
  <si>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</si>
  <si>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</si>
  <si>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</si>
  <si>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</si>
  <si>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</si>
  <si>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</si>
  <si>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</si>
  <si>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</si>
  <si>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</si>
  <si>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</si>
  <si>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</si>
  <si>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</si>
  <si>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</si>
  <si>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</si>
  <si>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</si>
  <si>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</si>
  <si>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</si>
  <si>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</si>
  <si>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</si>
  <si>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</si>
  <si>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</si>
  <si>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</si>
  <si>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</si>
  <si>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</si>
  <si>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</si>
  <si>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</si>
  <si>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</si>
  <si>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</si>
  <si>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</si>
  <si>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</si>
  <si>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</si>
  <si>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</si>
  <si>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</si>
  <si>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</si>
  <si>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</si>
  <si>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</si>
  <si>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</si>
  <si>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</si>
  <si>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</si>
  <si>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</si>
  <si>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</si>
  <si>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</si>
  <si>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</si>
  <si>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</si>
  <si>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</si>
  <si>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</si>
  <si>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</si>
  <si>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</si>
  <si>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</si>
  <si>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</si>
  <si>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</si>
  <si>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</si>
  <si>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</si>
  <si>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</si>
  <si>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</si>
  <si>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</si>
  <si>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</si>
  <si>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</si>
  <si>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</si>
  <si>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</si>
  <si>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</si>
  <si>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</si>
  <si>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</si>
  <si>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</si>
  <si>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</si>
  <si>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</si>
  <si>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</si>
  <si>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</si>
  <si>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</si>
  <si>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</si>
  <si>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</si>
  <si>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</si>
  <si>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</si>
  <si>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</si>
  <si>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</si>
  <si>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</si>
  <si>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</si>
  <si>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</si>
  <si>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</si>
  <si>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</si>
  <si>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</si>
  <si>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</si>
  <si>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</si>
  <si>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</si>
  <si>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</si>
  <si>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</si>
  <si>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</si>
  <si>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</si>
  <si>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</si>
  <si>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</si>
  <si>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</si>
  <si>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</si>
  <si>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</si>
  <si>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</si>
  <si>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</si>
  <si>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</si>
  <si>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</si>
  <si>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</si>
  <si>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</si>
  <si>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</si>
  <si>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</si>
  <si>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</si>
  <si>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</si>
  <si>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</si>
  <si>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</si>
  <si>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</si>
  <si>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</si>
  <si>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</si>
  <si>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</si>
  <si>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</si>
  <si>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</si>
  <si>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</si>
  <si>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</si>
  <si>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</si>
  <si>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</si>
  <si>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</si>
  <si>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</si>
  <si>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</si>
  <si>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</si>
  <si>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</si>
  <si>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</si>
  <si>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</si>
  <si>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</si>
  <si>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</si>
  <si>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</si>
  <si>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</si>
  <si>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</si>
  <si>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</si>
  <si>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</si>
  <si>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</si>
  <si>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</si>
  <si>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</si>
  <si>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</si>
  <si>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</si>
  <si>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</si>
  <si>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</si>
  <si>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</si>
  <si>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</si>
  <si>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</si>
  <si>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</si>
  <si>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</si>
  <si>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</si>
  <si>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</si>
  <si>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</si>
  <si>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</si>
  <si>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</si>
  <si>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</si>
  <si>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</si>
  <si>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</si>
  <si>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</si>
  <si>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</si>
  <si>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</si>
  <si>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</si>
  <si>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</si>
  <si>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</si>
  <si>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</si>
  <si>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</si>
  <si>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</si>
  <si>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</si>
  <si>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</si>
  <si>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</si>
  <si>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</si>
  <si>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</si>
  <si>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</si>
  <si>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</si>
  <si>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</si>
  <si>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</si>
  <si>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</si>
  <si>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</si>
  <si>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</si>
  <si>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</si>
  <si>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</si>
  <si>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</si>
  <si>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</si>
  <si>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</si>
  <si>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</si>
  <si>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</si>
  <si>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</si>
  <si>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</si>
  <si>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</si>
  <si>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</si>
  <si>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</si>
  <si>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</si>
  <si>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</si>
  <si>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</si>
  <si>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</si>
  <si>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</si>
  <si>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</si>
  <si>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</si>
  <si>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</si>
  <si>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</si>
  <si>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</si>
  <si>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</si>
  <si>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</si>
  <si>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</si>
  <si>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</si>
  <si>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</si>
  <si>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</si>
  <si>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</si>
  <si>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</si>
  <si>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</si>
  <si>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</si>
  <si>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</si>
  <si>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</si>
  <si>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</si>
  <si>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</si>
  <si>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</si>
  <si>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</si>
  <si>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</si>
  <si>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</si>
  <si>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</si>
  <si>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</si>
  <si>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</si>
  <si>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</si>
  <si>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</si>
  <si>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</si>
  <si>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</si>
  <si>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</si>
  <si>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</si>
  <si>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</si>
  <si>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</si>
  <si>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</si>
  <si>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</si>
  <si>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</si>
  <si>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</si>
  <si>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</si>
  <si>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</si>
  <si>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</si>
  <si>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</si>
  <si>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</si>
  <si>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</si>
  <si>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</si>
  <si>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</si>
  <si>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</si>
  <si>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</si>
  <si>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</si>
  <si>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</si>
  <si>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</si>
  <si>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</si>
  <si>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</si>
  <si>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</si>
  <si>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</si>
  <si>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</si>
  <si>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</si>
  <si>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</si>
  <si>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</si>
  <si>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</si>
  <si>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</si>
  <si>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</si>
  <si>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</si>
  <si>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</si>
  <si>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</si>
  <si>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</si>
  <si>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</si>
  <si>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</si>
  <si>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</si>
  <si>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</si>
  <si>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</si>
  <si>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</si>
  <si>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</si>
  <si>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</si>
  <si>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</si>
  <si>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</si>
  <si>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</si>
  <si>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</si>
  <si>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</si>
  <si>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</si>
  <si>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</si>
  <si>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</si>
  <si>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</si>
  <si>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</si>
  <si>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</si>
  <si>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</si>
  <si>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</si>
  <si>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</si>
  <si>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</si>
  <si>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</si>
  <si>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</si>
  <si>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</si>
  <si>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</si>
  <si>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</si>
  <si>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</si>
  <si>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</si>
  <si>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</si>
  <si>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</si>
  <si>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</si>
  <si>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</si>
  <si>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</si>
  <si>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</si>
  <si>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</si>
  <si>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</si>
  <si>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</si>
  <si>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</si>
  <si>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</si>
  <si>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</si>
  <si>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</si>
  <si>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</si>
  <si>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</si>
  <si>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</si>
  <si>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</si>
  <si>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</si>
  <si>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</si>
  <si>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</si>
  <si>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</si>
  <si>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</si>
  <si>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</si>
  <si>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</si>
  <si>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</si>
  <si>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</si>
  <si>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</si>
  <si>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</si>
  <si>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</si>
  <si>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</si>
  <si>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</si>
  <si>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</si>
  <si>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</si>
  <si>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</si>
  <si>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</si>
  <si>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</si>
  <si>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</si>
  <si>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</si>
  <si>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</si>
  <si>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</si>
  <si>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</si>
  <si>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</si>
  <si>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</si>
  <si>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</si>
  <si>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</si>
  <si>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</si>
  <si>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</si>
  <si>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</si>
  <si>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</si>
  <si>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</si>
  <si>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</si>
  <si>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</si>
  <si>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</si>
  <si>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</si>
  <si>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</si>
  <si>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</si>
  <si>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</si>
  <si>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</si>
  <si>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</si>
  <si>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</si>
  <si>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</si>
  <si>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</si>
  <si>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</si>
  <si>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</si>
  <si>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</si>
  <si>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</si>
  <si>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</si>
  <si>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</si>
  <si>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</si>
  <si>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</si>
  <si>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</si>
  <si>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</si>
  <si>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</si>
  <si>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</si>
  <si>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</si>
  <si>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</si>
  <si>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</si>
  <si>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</si>
  <si>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</si>
  <si>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</si>
  <si>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</si>
  <si>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</si>
  <si>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</si>
  <si>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</si>
  <si>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</si>
  <si>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</si>
  <si>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</si>
  <si>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</si>
  <si>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</si>
  <si>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</si>
  <si>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</si>
  <si>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</si>
  <si>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</si>
  <si>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</si>
  <si>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</si>
  <si>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</si>
  <si>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</si>
  <si>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</si>
  <si>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</si>
  <si>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</si>
  <si>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</si>
  <si>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</si>
  <si>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</si>
  <si>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</si>
  <si>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</si>
  <si>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</si>
  <si>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</si>
  <si>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</si>
  <si>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</si>
  <si>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</si>
  <si>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</si>
  <si>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</si>
  <si>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</si>
  <si>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</si>
  <si>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</si>
  <si>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</si>
  <si>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</si>
  <si>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</si>
  <si>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</si>
  <si>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</si>
  <si>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</si>
  <si>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</si>
  <si>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</si>
  <si>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</si>
  <si>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</si>
  <si>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</si>
  <si>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</si>
  <si>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</si>
  <si>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</si>
  <si>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</si>
  <si>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</si>
  <si>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</si>
  <si>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</si>
  <si>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</si>
  <si>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</si>
  <si>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</si>
  <si>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</si>
  <si>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</si>
  <si>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</si>
  <si>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</si>
  <si>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</si>
  <si>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</si>
  <si>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</si>
  <si>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</si>
  <si>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</si>
  <si>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</si>
  <si>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</si>
  <si>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</si>
  <si>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</si>
  <si>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</si>
  <si>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</si>
  <si>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</si>
  <si>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</si>
  <si>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</si>
  <si>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</si>
  <si>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</si>
  <si>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</si>
  <si>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</si>
  <si>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</si>
  <si>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</si>
  <si>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</si>
  <si>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</si>
  <si>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</si>
  <si>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</si>
  <si>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</si>
  <si>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</si>
  <si>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</si>
  <si>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</si>
  <si>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</si>
  <si>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</si>
  <si>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</si>
  <si>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</si>
  <si>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</si>
  <si>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</si>
  <si>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</si>
  <si>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</si>
  <si>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</si>
  <si>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</si>
  <si>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</si>
  <si>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</si>
  <si>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</si>
  <si>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</si>
  <si>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</si>
  <si>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</si>
  <si>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</si>
  <si>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</si>
  <si>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</si>
  <si>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</si>
  <si>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</si>
  <si>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</si>
  <si>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</si>
  <si>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</si>
  <si>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</si>
  <si>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</si>
  <si>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</si>
  <si>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</si>
  <si>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</si>
  <si>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</si>
  <si>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</si>
  <si>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</si>
  <si>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</si>
  <si>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</si>
  <si>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</si>
  <si>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</si>
  <si>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</si>
  <si>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</si>
  <si>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</si>
  <si>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</si>
  <si>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</si>
  <si>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</si>
  <si>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</si>
  <si>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</si>
  <si>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</si>
  <si>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</si>
  <si>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</si>
  <si>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</si>
  <si>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</si>
  <si>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</si>
  <si>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</si>
  <si>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</si>
  <si>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</si>
  <si>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</si>
  <si>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</si>
  <si>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</si>
  <si>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</si>
  <si>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</si>
  <si>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</si>
  <si>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</si>
  <si>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</si>
  <si>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</si>
  <si>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</si>
  <si>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</si>
  <si>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</si>
  <si>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</si>
  <si>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</si>
  <si>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</si>
  <si>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</si>
  <si>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</si>
  <si>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</si>
  <si>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</si>
  <si>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</si>
  <si>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</si>
  <si>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</si>
  <si>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</si>
  <si>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</si>
  <si>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</si>
  <si>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</si>
  <si>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</si>
  <si>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</si>
  <si>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</si>
  <si>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</si>
  <si>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</si>
  <si>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</si>
  <si>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</si>
  <si>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</si>
  <si>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</si>
  <si>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</si>
  <si>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</si>
  <si>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</si>
  <si>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</si>
  <si>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</si>
  <si>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</si>
  <si>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</si>
  <si>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</si>
  <si>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</si>
  <si>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</si>
  <si>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</si>
  <si>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</si>
  <si>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</si>
  <si>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</si>
  <si>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</si>
  <si>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</si>
  <si>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</si>
  <si>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</si>
  <si>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</si>
  <si>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</si>
  <si>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</si>
  <si>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</si>
  <si>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</si>
  <si>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</si>
  <si>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</si>
  <si>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</si>
  <si>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</si>
  <si>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</si>
  <si>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</si>
  <si>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</si>
  <si>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</si>
  <si>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</si>
  <si>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</si>
  <si>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</si>
  <si>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</si>
  <si>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</si>
  <si>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</si>
  <si>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</si>
  <si>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</si>
  <si>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</si>
  <si>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</si>
  <si>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</si>
  <si>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</si>
  <si>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</si>
  <si>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</si>
  <si>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</si>
  <si>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</si>
  <si>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</si>
  <si>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</si>
  <si>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</si>
  <si>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</si>
  <si>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</si>
  <si>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</si>
  <si>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</si>
  <si>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</si>
  <si>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</si>
  <si>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</si>
  <si>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</si>
  <si>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</si>
  <si>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</si>
  <si>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</si>
  <si>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</si>
  <si>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</si>
  <si>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</si>
  <si>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</si>
  <si>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</si>
  <si>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</si>
  <si>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</si>
  <si>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</si>
  <si>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</si>
  <si>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</si>
  <si>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</si>
  <si>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</si>
  <si>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</si>
  <si>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</si>
  <si>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</si>
  <si>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</si>
  <si>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</si>
  <si>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</si>
  <si>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</si>
  <si>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</si>
  <si>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</si>
  <si>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</si>
  <si>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</si>
  <si>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</si>
  <si>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</si>
  <si>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</si>
  <si>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</si>
  <si>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</si>
  <si>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</si>
  <si>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</si>
  <si>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</si>
  <si>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</si>
  <si>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</si>
  <si>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</si>
  <si>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</si>
  <si>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</si>
  <si>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</si>
  <si>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</si>
  <si>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</si>
  <si>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</si>
  <si>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</si>
  <si>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</si>
  <si>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</si>
  <si>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</si>
  <si>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</si>
  <si>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</si>
  <si>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</si>
  <si>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</si>
  <si>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</si>
  <si>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</si>
  <si>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</si>
  <si>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</si>
  <si>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</si>
  <si>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</si>
  <si>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</si>
  <si>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</si>
  <si>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</si>
  <si>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</si>
  <si>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</si>
  <si>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</si>
  <si>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</si>
  <si>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</si>
  <si>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</si>
  <si>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</si>
  <si>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</si>
  <si>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</si>
  <si>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</si>
  <si>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</si>
  <si>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</si>
  <si>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</si>
  <si>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</si>
  <si>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</si>
  <si>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</si>
  <si>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</si>
  <si>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</si>
  <si>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</si>
  <si>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</si>
  <si>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</si>
  <si>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</si>
  <si>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</si>
  <si>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</si>
  <si>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</si>
  <si>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</si>
  <si>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</si>
  <si>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</si>
  <si>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</si>
  <si>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</si>
  <si>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</si>
  <si>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</si>
  <si>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</si>
  <si>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</si>
  <si>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</si>
  <si>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</si>
  <si>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</si>
  <si>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</si>
  <si>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</si>
  <si>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</si>
  <si>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</si>
  <si>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</si>
  <si>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</si>
  <si>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</si>
  <si>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</si>
  <si>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</si>
  <si>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</si>
  <si>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</si>
  <si>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</si>
  <si>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</si>
  <si>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</si>
  <si>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</si>
  <si>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</si>
  <si>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</si>
  <si>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</si>
  <si>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</si>
  <si>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</si>
  <si>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</si>
  <si>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</si>
  <si>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</si>
  <si>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</si>
  <si>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</si>
  <si>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</si>
  <si>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</si>
  <si>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</si>
  <si>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</si>
  <si>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</si>
  <si>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</si>
  <si>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</si>
  <si>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</si>
  <si>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</si>
  <si>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</si>
  <si>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</si>
  <si>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</si>
  <si>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</si>
  <si>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</si>
  <si>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</si>
  <si>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</si>
  <si>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</si>
  <si>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</si>
  <si>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</si>
  <si>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</si>
  <si>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</si>
  <si>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</si>
  <si>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</si>
  <si>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</si>
  <si>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</si>
  <si>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</si>
  <si>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</si>
  <si>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</si>
  <si>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</si>
  <si>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</si>
  <si>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</si>
  <si>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</si>
  <si>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</si>
  <si>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</si>
  <si>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</si>
  <si>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</si>
  <si>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</si>
  <si>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</si>
  <si>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</si>
  <si>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</si>
  <si>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</si>
  <si>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</si>
  <si>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</si>
  <si>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</si>
  <si>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</si>
  <si>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</si>
  <si>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</si>
  <si>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</si>
  <si>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</si>
  <si>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</si>
  <si>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</si>
  <si>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</si>
  <si>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</si>
  <si>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</si>
  <si>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</si>
  <si>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</si>
  <si>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</si>
  <si>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</si>
  <si>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</si>
  <si>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</si>
  <si>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</si>
  <si>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</si>
  <si>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</si>
  <si>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</si>
  <si>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</si>
  <si>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</si>
  <si>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</si>
  <si>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</si>
  <si>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</si>
  <si>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</si>
  <si>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</si>
  <si>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</si>
  <si>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</si>
  <si>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</si>
  <si>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</si>
  <si>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</si>
  <si>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</si>
  <si>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</si>
  <si>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</si>
  <si>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</si>
  <si>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</si>
  <si>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</si>
  <si>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</si>
  <si>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</si>
  <si>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</si>
  <si>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</si>
  <si>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</si>
  <si>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</si>
  <si>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</si>
  <si>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</si>
  <si>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</si>
  <si>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</si>
  <si>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</si>
  <si>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</si>
  <si>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</si>
  <si>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</si>
  <si>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</si>
  <si>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</si>
  <si>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</si>
  <si>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</si>
  <si>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</si>
  <si>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</si>
  <si>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</si>
  <si>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</si>
  <si>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</si>
  <si>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</si>
  <si>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</si>
  <si>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</si>
  <si>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</si>
  <si>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</si>
  <si>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</si>
  <si>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</si>
  <si>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</si>
  <si>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</si>
  <si>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</si>
  <si>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</si>
  <si>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</si>
  <si>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</si>
  <si>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</si>
  <si>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</si>
  <si>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</si>
  <si>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</si>
  <si>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</si>
  <si>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</si>
  <si>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</si>
  <si>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</si>
  <si>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</si>
  <si>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</si>
  <si>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</si>
  <si>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</si>
  <si>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</si>
  <si>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</si>
  <si>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</si>
  <si>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</si>
  <si>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</si>
  <si>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</si>
  <si>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</si>
  <si>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</si>
  <si>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</si>
  <si>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</si>
  <si>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</si>
  <si>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</si>
  <si>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</si>
  <si>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</si>
  <si>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</si>
  <si>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</si>
  <si>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</si>
  <si>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</si>
  <si>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</si>
  <si>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</si>
  <si>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</si>
  <si>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</si>
  <si>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</si>
  <si>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</si>
  <si>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</si>
  <si>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</si>
  <si>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</si>
  <si>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</si>
  <si>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</si>
  <si>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</si>
  <si>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</si>
  <si>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</si>
  <si>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</si>
  <si>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</si>
  <si>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</si>
  <si>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</si>
  <si>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</si>
  <si>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</si>
  <si>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</si>
  <si>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</si>
  <si>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</si>
  <si>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</si>
  <si>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</si>
  <si>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</si>
  <si>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</si>
  <si>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</si>
  <si>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</si>
  <si>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</si>
  <si>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</si>
  <si>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</si>
  <si>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</si>
  <si>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</si>
  <si>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</si>
  <si>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</si>
  <si>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</si>
  <si>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</si>
  <si>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</si>
  <si>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</si>
  <si>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</si>
  <si>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</si>
  <si>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</si>
  <si>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</si>
  <si>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</si>
  <si>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</si>
  <si>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</si>
  <si>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</si>
  <si>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</si>
  <si>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</si>
  <si>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</si>
  <si>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</si>
  <si>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</si>
  <si>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</si>
  <si>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</si>
  <si>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</si>
  <si>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</si>
  <si>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</si>
  <si>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</si>
  <si>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</si>
  <si>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</si>
  <si>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</si>
  <si>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</si>
  <si>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</si>
  <si>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</si>
  <si>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</si>
  <si>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</si>
  <si>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</si>
  <si>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</si>
  <si>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</si>
  <si>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</si>
  <si>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</si>
  <si>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</si>
  <si>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</si>
  <si>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</si>
  <si>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</si>
  <si>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</si>
  <si>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</si>
  <si>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</si>
  <si>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</si>
  <si>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</si>
  <si>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</si>
  <si>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</si>
  <si>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</si>
  <si>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</si>
  <si>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</si>
  <si>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</si>
  <si>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</si>
  <si>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</si>
  <si>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</si>
  <si>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</si>
  <si>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</si>
  <si>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</si>
  <si>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</si>
  <si>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</si>
  <si>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</si>
  <si>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</si>
  <si>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</si>
  <si>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</si>
  <si>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</si>
  <si>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</si>
  <si>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</si>
  <si>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</si>
  <si>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</si>
  <si>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</si>
  <si>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</si>
  <si>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</si>
  <si>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</si>
  <si>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</si>
  <si>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</si>
  <si>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</si>
  <si>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</si>
  <si>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</si>
  <si>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</si>
  <si>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</si>
  <si>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</si>
  <si>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</si>
  <si>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</si>
  <si>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</si>
  <si>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</si>
  <si>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</si>
  <si>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</si>
  <si>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</si>
  <si>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</si>
  <si>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</si>
  <si>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</si>
  <si>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</si>
  <si>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</si>
  <si>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</si>
  <si>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</si>
  <si>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</si>
  <si>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</si>
  <si>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</si>
  <si>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</si>
  <si>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</si>
  <si>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</si>
  <si>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</si>
  <si>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</si>
  <si>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</si>
  <si>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</si>
  <si>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</si>
  <si>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</si>
  <si>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</si>
  <si>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</si>
  <si>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</si>
  <si>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</si>
  <si>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</si>
  <si>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</si>
  <si>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</si>
  <si>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</si>
  <si>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</si>
  <si>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</si>
  <si>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</si>
  <si>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</si>
  <si>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</si>
  <si>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</si>
  <si>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</si>
  <si>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</si>
  <si>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</si>
  <si>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</si>
  <si>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</si>
  <si>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</si>
  <si>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</si>
  <si>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</si>
  <si>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</si>
  <si>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</si>
  <si>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</si>
  <si>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</si>
  <si>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</si>
  <si>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</si>
  <si>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</si>
  <si>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</si>
  <si>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</si>
  <si>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</si>
  <si>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</si>
  <si>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</si>
  <si>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</si>
  <si>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</si>
  <si>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</si>
  <si>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</si>
  <si>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</si>
  <si>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</si>
  <si>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</si>
  <si>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</si>
  <si>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</si>
  <si>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</si>
  <si>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</si>
  <si>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</si>
  <si>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</si>
  <si>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</si>
  <si>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</si>
  <si>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</si>
  <si>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</si>
  <si>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</si>
  <si>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</si>
  <si>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</si>
  <si>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</si>
  <si>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</si>
  <si>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</si>
  <si>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</si>
  <si>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</si>
  <si>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</si>
  <si>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</si>
  <si>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</si>
  <si>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</si>
  <si>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</si>
  <si>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</si>
  <si>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</si>
  <si>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</si>
  <si>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</si>
  <si>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</si>
  <si>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</si>
  <si>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</si>
  <si>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</si>
  <si>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</si>
  <si>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</si>
  <si>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</si>
  <si>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</si>
  <si>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</si>
  <si>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</si>
  <si>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</si>
  <si>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</si>
  <si>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</si>
  <si>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</si>
  <si>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</si>
  <si>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</si>
  <si>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</si>
  <si>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</si>
  <si>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</si>
  <si>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</si>
  <si>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</si>
  <si>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</si>
  <si>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</si>
  <si>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</si>
  <si>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</si>
  <si>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</si>
  <si>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</si>
  <si>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</si>
  <si>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</si>
  <si>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</si>
  <si>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</si>
  <si>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</si>
  <si>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</si>
  <si>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</si>
  <si>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</si>
  <si>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</si>
  <si>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</si>
  <si>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</si>
  <si>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</si>
  <si>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</si>
  <si>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</si>
  <si>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</si>
  <si>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</si>
  <si>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</si>
  <si>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</si>
  <si>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</si>
  <si>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</si>
  <si>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</si>
  <si>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</si>
  <si>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</si>
  <si>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</si>
  <si>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</si>
  <si>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</si>
  <si>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</si>
  <si>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</si>
  <si>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</si>
  <si>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</si>
  <si>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</si>
  <si>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</si>
  <si>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</si>
  <si>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</si>
  <si>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</si>
  <si>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</si>
  <si>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</si>
  <si>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</si>
  <si>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</si>
  <si>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</si>
  <si>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</si>
  <si>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</si>
  <si>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</si>
  <si>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</si>
  <si>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</si>
  <si>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</si>
  <si>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</si>
  <si>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</si>
  <si>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</si>
  <si>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</si>
  <si>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</si>
  <si>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</si>
  <si>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</si>
  <si>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</si>
  <si>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</si>
  <si>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</si>
  <si>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</si>
  <si>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</si>
  <si>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</si>
  <si>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</si>
  <si>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</si>
  <si>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</si>
  <si>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</si>
  <si>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</si>
  <si>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</si>
  <si>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</si>
  <si>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</si>
  <si>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</si>
  <si>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</si>
  <si>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</si>
  <si>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</si>
  <si>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</si>
  <si>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</si>
  <si>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</si>
  <si>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</si>
  <si>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</si>
  <si>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</si>
  <si>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</si>
  <si>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</si>
  <si>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</si>
  <si>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</si>
  <si>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</si>
  <si>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</si>
  <si>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</si>
  <si>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</si>
  <si>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</si>
  <si>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</si>
  <si>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</si>
  <si>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</si>
  <si>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</si>
  <si>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</si>
  <si>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</si>
  <si>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</si>
  <si>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</si>
  <si>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</si>
  <si>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</si>
  <si>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</si>
  <si>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</si>
  <si>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</si>
  <si>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</si>
  <si>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</si>
  <si>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</si>
  <si>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</si>
  <si>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</si>
  <si>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</si>
  <si>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</si>
  <si>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</si>
  <si>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</si>
  <si>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</si>
  <si>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</si>
  <si>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</si>
  <si>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</si>
  <si>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</si>
  <si>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</si>
  <si>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</si>
  <si>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</si>
  <si>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</si>
  <si>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</si>
  <si>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</si>
  <si>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</si>
  <si>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</si>
  <si>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</si>
  <si>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</si>
  <si>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</si>
  <si>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</si>
  <si>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</si>
  <si>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</si>
  <si>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</si>
  <si>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</si>
  <si>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</si>
  <si>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</si>
  <si>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</si>
  <si>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</si>
  <si>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</si>
  <si>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</si>
  <si>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</si>
  <si>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</si>
  <si>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</si>
  <si>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</si>
  <si>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</si>
  <si>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</si>
  <si>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</si>
  <si>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</si>
  <si>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</si>
  <si>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</si>
  <si>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</si>
  <si>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</si>
  <si>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</si>
  <si>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</si>
  <si>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</si>
  <si>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</si>
  <si>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</si>
  <si>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</si>
  <si>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</si>
  <si>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</si>
  <si>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</si>
  <si>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</si>
  <si>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</si>
  <si>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</si>
  <si>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</si>
  <si>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</si>
  <si>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</si>
  <si>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</si>
  <si>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</si>
  <si>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</si>
  <si>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</si>
  <si>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</si>
  <si>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</si>
  <si>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</si>
  <si>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</si>
  <si>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</si>
  <si>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</si>
  <si>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</si>
  <si>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</si>
  <si>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</si>
  <si>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</si>
  <si>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</si>
  <si>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</si>
  <si>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</si>
  <si>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</si>
  <si>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</si>
  <si>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</si>
  <si>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</si>
  <si>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</si>
  <si>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</si>
  <si>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</si>
  <si>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</si>
  <si>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</si>
  <si>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</si>
  <si>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</si>
  <si>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</si>
  <si>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</si>
  <si>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</si>
  <si>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</si>
  <si>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</si>
  <si>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</si>
  <si>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</si>
  <si>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</si>
  <si>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</si>
  <si>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</si>
  <si>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</si>
  <si>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</si>
  <si>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</si>
  <si>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</si>
  <si>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</si>
  <si>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</si>
  <si>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</si>
  <si>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</si>
  <si>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</si>
  <si>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</si>
  <si>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</si>
  <si>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</si>
  <si>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</si>
  <si>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</si>
  <si>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</si>
  <si>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</si>
  <si>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</si>
  <si>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</si>
  <si>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</si>
  <si>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</si>
  <si>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</si>
  <si>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</si>
  <si>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</si>
  <si>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</si>
  <si>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</si>
  <si>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</si>
  <si>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</si>
  <si>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</si>
  <si>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</si>
  <si>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</si>
  <si>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</si>
  <si>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</si>
  <si>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</si>
  <si>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</si>
  <si>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</si>
  <si>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</si>
  <si>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</si>
  <si>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</si>
  <si>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</si>
  <si>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</si>
  <si>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</si>
  <si>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</si>
  <si>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</si>
  <si>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</si>
  <si>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</si>
  <si>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</si>
  <si>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</si>
  <si>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</si>
  <si>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</si>
  <si>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</si>
  <si>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</si>
  <si>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</si>
  <si>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</si>
  <si>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</si>
  <si>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</si>
  <si>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</si>
  <si>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</si>
  <si>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</si>
  <si>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</si>
  <si>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</si>
  <si>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</si>
  <si>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</si>
  <si>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</si>
  <si>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</si>
  <si>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</si>
  <si>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</si>
  <si>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</si>
  <si>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</si>
  <si>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</si>
  <si>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</si>
  <si>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</si>
  <si>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</si>
  <si>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</si>
  <si>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</si>
  <si>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</si>
  <si>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</si>
  <si>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</si>
  <si>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</si>
  <si>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</si>
  <si>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</si>
  <si>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</si>
  <si>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</si>
  <si>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</si>
  <si>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</si>
  <si>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</si>
  <si>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</si>
  <si>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</si>
  <si>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</si>
  <si>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</si>
  <si>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</si>
  <si>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</si>
  <si>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</si>
  <si>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</si>
  <si>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</si>
  <si>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</si>
  <si>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</si>
  <si>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</si>
  <si>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</si>
  <si>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</si>
  <si>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</si>
  <si>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</si>
  <si>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</si>
  <si>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</si>
  <si>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</si>
  <si>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</si>
  <si>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</si>
  <si>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</si>
  <si>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</si>
  <si>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</si>
  <si>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</si>
  <si>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</si>
  <si>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</si>
  <si>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</si>
  <si>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</si>
  <si>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</si>
  <si>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</si>
  <si>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</si>
  <si>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</si>
  <si>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</si>
  <si>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</si>
  <si>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</si>
  <si>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</si>
  <si>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</si>
  <si>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</si>
  <si>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</si>
  <si>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</si>
  <si>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</si>
  <si>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</si>
  <si>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</si>
  <si>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</si>
  <si>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</si>
  <si>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</si>
  <si>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</si>
  <si>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</si>
  <si>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</si>
  <si>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</si>
  <si>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</si>
  <si>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</si>
  <si>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</si>
  <si>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</si>
  <si>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</si>
  <si>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</si>
  <si>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</si>
  <si>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</si>
  <si>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</si>
  <si>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</si>
  <si>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</si>
  <si>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</si>
  <si>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</si>
  <si>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</si>
  <si>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</si>
  <si>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</si>
  <si>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</si>
  <si>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</si>
  <si>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</si>
  <si>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</si>
  <si>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</si>
  <si>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</si>
  <si>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</si>
  <si>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</si>
  <si>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</si>
  <si>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</si>
  <si>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</si>
  <si>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</si>
  <si>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</si>
  <si>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</si>
  <si>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</si>
  <si>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</si>
  <si>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</si>
  <si>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</si>
  <si>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</si>
  <si>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</si>
  <si>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</si>
  <si>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</si>
  <si>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</si>
  <si>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</si>
  <si>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</si>
  <si>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</si>
  <si>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</si>
  <si>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</si>
  <si>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</si>
  <si>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</si>
  <si>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</si>
  <si>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</si>
  <si>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</si>
  <si>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</si>
  <si>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</si>
  <si>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</si>
  <si>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</si>
  <si>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</si>
  <si>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</si>
  <si>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</si>
  <si>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</si>
  <si>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</si>
  <si>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</si>
  <si>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</si>
  <si>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</si>
  <si>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</si>
  <si>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</si>
  <si>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</si>
  <si>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</si>
  <si>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</si>
  <si>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</si>
  <si>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</si>
  <si>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</si>
  <si>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</si>
  <si>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</si>
  <si>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</si>
  <si>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</si>
  <si>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</si>
  <si>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</si>
  <si>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</si>
  <si>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</si>
  <si>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</si>
  <si>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</si>
  <si>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</si>
  <si>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</si>
  <si>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</si>
  <si>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</si>
  <si>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</si>
  <si>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</si>
  <si>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</si>
  <si>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</si>
  <si>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</si>
  <si>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</si>
  <si>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</si>
  <si>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</si>
  <si>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</si>
  <si>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</si>
  <si>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</si>
  <si>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</si>
  <si>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</si>
  <si>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</si>
  <si>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</si>
  <si>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</si>
  <si>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</si>
  <si>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</si>
  <si>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</si>
  <si>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</si>
  <si>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</si>
  <si>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</si>
  <si>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</si>
  <si>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</si>
  <si>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</si>
  <si>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</si>
  <si>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</si>
  <si>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</si>
  <si>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</si>
  <si>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</si>
  <si>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</si>
  <si>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</si>
  <si>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</si>
  <si>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</si>
  <si>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</si>
  <si>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</si>
  <si>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</si>
  <si>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</si>
  <si>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</si>
  <si>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</si>
  <si>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</si>
  <si>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</si>
  <si>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</si>
  <si>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</si>
  <si>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</si>
  <si>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</si>
  <si>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</si>
  <si>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</si>
  <si>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</si>
  <si>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</si>
  <si>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</si>
  <si>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</si>
  <si>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</si>
  <si>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</si>
  <si>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</si>
  <si>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</si>
  <si>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</si>
  <si>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</si>
  <si>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</si>
  <si>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</si>
  <si>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</si>
  <si>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</si>
  <si>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</si>
  <si>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</si>
  <si>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</si>
  <si>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</si>
  <si>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</si>
  <si>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</si>
  <si>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</si>
  <si>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</si>
  <si>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</si>
  <si>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</si>
  <si>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</si>
  <si>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</si>
  <si>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</si>
  <si>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</si>
  <si>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</si>
  <si>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</si>
  <si>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</si>
  <si>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</si>
  <si>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</si>
  <si>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</si>
  <si>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</si>
  <si>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</si>
  <si>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</si>
  <si>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</si>
  <si>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</si>
  <si>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</si>
  <si>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</si>
  <si>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</si>
  <si>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</si>
  <si>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</si>
  <si>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</si>
  <si>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</si>
  <si>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</si>
  <si>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</si>
  <si>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</si>
  <si>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</si>
  <si>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</si>
  <si>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</si>
  <si>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</si>
  <si>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</si>
  <si>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</si>
  <si>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</si>
  <si>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</si>
  <si>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</si>
  <si>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</si>
  <si>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</si>
  <si>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</si>
  <si>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</si>
  <si>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</si>
  <si>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</si>
  <si>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</si>
  <si>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</si>
  <si>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</si>
  <si>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</si>
  <si>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</si>
  <si>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</si>
  <si>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</si>
  <si>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</si>
  <si>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</si>
  <si>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</si>
  <si>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</si>
  <si>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</si>
  <si>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</si>
  <si>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</si>
  <si>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</si>
  <si>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</si>
  <si>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</si>
  <si>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</si>
  <si>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</si>
  <si>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</si>
  <si>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</si>
  <si>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</si>
  <si>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</si>
  <si>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</si>
  <si>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</si>
  <si>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</si>
  <si>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</si>
  <si>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</si>
  <si>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</si>
  <si>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</si>
  <si>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</si>
  <si>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</si>
  <si>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</si>
  <si>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</si>
  <si>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</si>
  <si>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</si>
  <si>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</si>
  <si>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</si>
  <si>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</si>
  <si>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</si>
  <si>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</si>
  <si>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</si>
  <si>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</si>
  <si>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</si>
  <si>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</si>
  <si>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</si>
  <si>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</si>
  <si>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</si>
  <si>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</si>
  <si>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</si>
  <si>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</si>
  <si>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</si>
  <si>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</si>
  <si>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</si>
  <si>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</si>
  <si>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</si>
  <si>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</si>
  <si>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</si>
  <si>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</si>
  <si>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</si>
  <si>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</si>
  <si>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</si>
  <si>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</si>
  <si>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</si>
  <si>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</si>
  <si>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</si>
  <si>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</si>
  <si>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</si>
  <si>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</si>
  <si>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</si>
  <si>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</si>
  <si>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</si>
  <si>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</si>
  <si>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</si>
  <si>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</si>
  <si>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</si>
  <si>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</si>
  <si>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</si>
  <si>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</si>
  <si>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</si>
  <si>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</si>
  <si>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</si>
  <si>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</si>
  <si>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</si>
  <si>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</si>
  <si>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</si>
  <si>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</si>
  <si>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</si>
  <si>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</si>
  <si>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</si>
  <si>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</si>
  <si>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</si>
  <si>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</si>
  <si>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</si>
  <si>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</si>
  <si>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</si>
  <si>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</si>
  <si>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</si>
  <si>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</si>
  <si>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</si>
  <si>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</si>
  <si>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</si>
  <si>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</si>
  <si>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</si>
  <si>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</si>
  <si>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</si>
  <si>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</si>
  <si>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</si>
  <si>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</si>
  <si>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</si>
  <si>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</si>
  <si>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</si>
  <si>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</si>
  <si>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</si>
  <si>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</si>
  <si>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</si>
  <si>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</si>
  <si>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</si>
  <si>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</si>
  <si>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</si>
  <si>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</si>
  <si>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</si>
  <si>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</si>
  <si>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</si>
  <si>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</si>
  <si>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</si>
  <si>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</si>
  <si>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</si>
  <si>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</si>
  <si>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</si>
  <si>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</si>
  <si>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</si>
  <si>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</si>
  <si>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</si>
  <si>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</si>
  <si>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</si>
  <si>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</si>
  <si>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</si>
  <si>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</si>
  <si>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</si>
  <si>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</si>
  <si>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</si>
  <si>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</si>
  <si>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</si>
  <si>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</si>
  <si>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</si>
  <si>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</si>
  <si>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</si>
  <si>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</si>
  <si>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</si>
  <si>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</si>
  <si>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</si>
  <si>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</si>
  <si>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</si>
  <si>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</si>
  <si>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</si>
  <si>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</si>
  <si>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</si>
  <si>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</si>
  <si>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</si>
  <si>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</si>
  <si>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</si>
  <si>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</si>
  <si>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</si>
  <si>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</si>
  <si>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</si>
  <si>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</si>
  <si>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</si>
  <si>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</si>
  <si>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</si>
  <si>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</si>
  <si>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</si>
  <si>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</si>
  <si>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</si>
  <si>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</si>
  <si>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</si>
  <si>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</si>
  <si>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</si>
  <si>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</si>
  <si>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</si>
  <si>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</si>
  <si>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</si>
  <si>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</si>
  <si>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</si>
  <si>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</si>
  <si>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</si>
  <si>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</si>
  <si>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</si>
  <si>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</si>
  <si>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</si>
  <si>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</si>
  <si>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</si>
  <si>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</si>
  <si>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</si>
  <si>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</si>
  <si>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</si>
  <si>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</si>
  <si>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</si>
  <si>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</si>
  <si>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</si>
  <si>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</si>
  <si>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</si>
  <si>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</si>
  <si>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</si>
  <si>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</si>
  <si>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</si>
  <si>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</si>
  <si>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</si>
  <si>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</si>
  <si>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</si>
  <si>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</si>
  <si>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</si>
  <si>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</si>
  <si>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</si>
  <si>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</si>
  <si>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</si>
  <si>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</si>
  <si>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</si>
  <si>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</si>
  <si>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</si>
  <si>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</si>
  <si>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</si>
  <si>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</si>
  <si>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</si>
  <si>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</si>
  <si>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</si>
  <si>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</si>
  <si>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</si>
  <si>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</si>
  <si>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</si>
  <si>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</si>
  <si>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</si>
  <si>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</si>
  <si>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</si>
  <si>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</si>
  <si>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</si>
  <si>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</si>
  <si>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</si>
  <si>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</si>
  <si>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</si>
  <si>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</si>
  <si>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</si>
  <si>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</si>
  <si>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</si>
  <si>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</si>
  <si>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</si>
  <si>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</si>
  <si>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</si>
  <si>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</si>
  <si>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</si>
  <si>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</si>
  <si>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</si>
  <si>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</si>
  <si>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</si>
  <si>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</si>
  <si>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</si>
  <si>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</si>
  <si>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</si>
  <si>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</si>
  <si>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</si>
  <si>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</si>
  <si>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</si>
  <si>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</si>
  <si>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</si>
  <si>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</si>
  <si>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</si>
  <si>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</si>
  <si>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</si>
  <si>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</si>
  <si>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</si>
  <si>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</si>
  <si>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</si>
  <si>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</si>
  <si>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</si>
  <si>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</si>
  <si>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</si>
  <si>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</si>
  <si>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</si>
  <si>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</si>
  <si>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</si>
  <si>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</si>
  <si>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</si>
  <si>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</si>
  <si>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</si>
  <si>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</si>
  <si>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</si>
  <si>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</si>
  <si>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</si>
  <si>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</si>
  <si>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</si>
  <si>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</si>
  <si>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</si>
  <si>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</si>
  <si>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</si>
  <si>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</si>
  <si>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</si>
  <si>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</si>
  <si>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</si>
  <si>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</si>
  <si>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</si>
  <si>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</si>
  <si>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</si>
  <si>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</si>
  <si>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</si>
  <si>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</si>
  <si>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</si>
  <si>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</si>
  <si>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</si>
  <si>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</si>
  <si>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</si>
  <si>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</si>
  <si>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Unknown</t>
  </si>
  <si>
    <t>shipping_delay_days</t>
  </si>
  <si>
    <t>Order_Id_Count</t>
  </si>
  <si>
    <t>duplicate_review_flag</t>
  </si>
  <si>
    <t>Review Required</t>
  </si>
  <si>
    <t>Unique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</si>
  <si>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</si>
  <si>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</si>
  <si>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</si>
  <si>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</si>
  <si>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</si>
  <si>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</si>
  <si>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</si>
  <si>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Sales_Mismatch</t>
  </si>
  <si>
    <t>Profit_Mismatch</t>
  </si>
  <si>
    <t>Row Labels</t>
  </si>
  <si>
    <t>Grand Total</t>
  </si>
  <si>
    <t>Sum of calculated_sales</t>
  </si>
  <si>
    <t>Sum of calculated_profit</t>
  </si>
  <si>
    <t>February</t>
  </si>
  <si>
    <t>March</t>
  </si>
  <si>
    <t>April</t>
  </si>
  <si>
    <t>June</t>
  </si>
  <si>
    <t>October</t>
  </si>
  <si>
    <t>May</t>
  </si>
  <si>
    <t>August</t>
  </si>
  <si>
    <t>July</t>
  </si>
  <si>
    <t>September</t>
  </si>
  <si>
    <t>January</t>
  </si>
  <si>
    <t>November</t>
  </si>
  <si>
    <t>Count of order_id</t>
  </si>
  <si>
    <t>Average of profit_margin</t>
  </si>
  <si>
    <t>Profit margin by customer segment</t>
  </si>
  <si>
    <t>Refunded/cancelled/failed orders by region</t>
  </si>
  <si>
    <t>Column Labels</t>
  </si>
  <si>
    <t>Monthly sales trend</t>
  </si>
  <si>
    <t>December</t>
  </si>
  <si>
    <t>Sales and profit by region</t>
  </si>
  <si>
    <t>Sales and profit by category and sub-category</t>
  </si>
  <si>
    <t>Order count by 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</si>
</sst>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415173"/>
      <name val="Inter"/>
    </font>
    <font>
      <b/>
      <sz val="14"/>
      <color rgb="FF415173"/>
      <name val="Inte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/>
    <xf numFmtId="9" fontId="0" fillId="0" borderId="0" xfId="0" applyNumberFormat="1"/>
    <xf numFmtId="10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14" formatCode="0.00%"/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numFmt numFmtId="14" formatCode="0.00%"/>
    </dxf>
    <dxf>
      <numFmt numFmtId="164" formatCode="yyyy/mm/dd;@"/>
    </dxf>
    <dxf>
      <numFmt numFmtId="164" formatCode="yyyy/mm/dd;@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s, Ananya (IND)" refreshedDate="46192.957052662037" createdVersion="8" refreshedVersion="8" minRefreshableVersion="3" recordCount="913" xr:uid="{B0B81162-32B1-4F5F-BF48-3B7FB1F548D3}">
  <cacheSource type="worksheet">
    <worksheetSource name="OrdersData"/>
  </cacheSource>
  <cacheFields count="33">
    <cacheField name="order_id" numFmtId="0">
      <sharedItems containsBlank="1"/>
    </cacheField>
    <cacheField name="order_date" numFmtId="164">
      <sharedItems containsNonDate="0" containsDate="1" containsString="0" containsBlank="1" minDate="2024-01-01T00:00:00" maxDate="2025-10-13T00:00:00"/>
    </cacheField>
    <cacheField name="ship_date" numFmtId="0">
      <sharedItems containsNonDate="0" containsDate="1" containsString="0" containsBlank="1" minDate="2024-01-05T00:00:00" maxDate="2025-10-17T00:00:00"/>
    </cacheField>
    <cacheField name="shipping_delay_days" numFmtId="0">
      <sharedItems containsString="0" containsBlank="1" containsNumber="1" containsInteger="1" minValue="-4" maxValue="8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Order_Id_Count" numFmtId="0">
      <sharedItems containsString="0" containsBlank="1" containsNumber="1" containsInteger="1" minValue="1" maxValue="2"/>
    </cacheField>
    <cacheField name="duplicate_review_flag" numFmtId="0">
      <sharedItems containsBlank="1"/>
    </cacheField>
    <cacheField name="cleaned_discount" numFmtId="0">
      <sharedItems containsString="0" containsBlank="1" containsNumber="1" minValue="-0.24" maxValue="0.85"/>
    </cacheField>
    <cacheField name="calculated_sales" numFmtId="0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-23452.5635" maxValue="15225.999000000003"/>
    </cacheField>
    <cacheField name="profit_margin" numFmtId="10">
      <sharedItems containsString="0" containsBlank="1" containsNumber="1" minValue="-4.5764791949555343" maxValue="0.63731759836591895"/>
    </cacheField>
    <cacheField name="order_month" numFmtId="0">
      <sharedItems containsBlank="1" count="13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data_quality_flag" numFmtId="0">
      <sharedItems containsBlank="1"/>
    </cacheField>
    <cacheField name="Sales_Mismatch" numFmtId="0">
      <sharedItems containsBlank="1"/>
    </cacheField>
    <cacheField name="Profit_Mismatc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1"/>
    <s v="Unique"/>
    <n v="0.2"/>
    <n v="19049.28"/>
    <n v="3207.3899999999994"/>
    <n v="0.16837329284886357"/>
    <x v="0"/>
    <x v="0"/>
    <s v="Clean"/>
    <s v="Match"/>
    <s v="Match"/>
  </r>
  <r>
    <s v="ORD-2024-10002"/>
    <d v="2024-08-31T00:00:00"/>
    <d v="2024-09-05T00:00:00"/>
    <n v="5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1"/>
    <s v="Unique"/>
    <n v="0"/>
    <n v="7312.5"/>
    <n v="2407.7700000000004"/>
    <n v="0.32926769230769237"/>
    <x v="1"/>
    <x v="0"/>
    <s v="Clean"/>
    <s v="Match"/>
    <s v="Match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1"/>
    <s v="Unique"/>
    <n v="0.55000000000000004"/>
    <n v="1917.7739999999999"/>
    <n v="-547.91600000000017"/>
    <n v="-0.28570415492127865"/>
    <x v="2"/>
    <x v="0"/>
    <s v="Clean"/>
    <s v="Mismatch"/>
    <s v="Mismatch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1"/>
    <s v="Unique"/>
    <n v="0.25"/>
    <n v="8317.9349999999995"/>
    <n v="1521.1649999999991"/>
    <n v="0.18287772145370204"/>
    <x v="3"/>
    <x v="0"/>
    <s v="Clean"/>
    <s v="Match"/>
    <s v="Match"/>
  </r>
  <r>
    <s v="ORD-2025-10005"/>
    <d v="2025-08-29T00:00:00"/>
    <d v="2025-09-01T00:00:00"/>
    <n v="3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1"/>
    <s v="Unique"/>
    <n v="0"/>
    <n v="20816.32"/>
    <n v="3110.9500000000007"/>
    <n v="0.14944764492475138"/>
    <x v="1"/>
    <x v="1"/>
    <s v="Clean"/>
    <s v="Match"/>
    <s v="Match"/>
  </r>
  <r>
    <s v="ORD-2024-10006"/>
    <d v="2024-05-24T00:00:00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n v="1"/>
    <s v="Unique"/>
    <n v="0.2"/>
    <n v="2527.4639999999999"/>
    <n v="993.88400000000001"/>
    <n v="0.39323369195367375"/>
    <x v="4"/>
    <x v="0"/>
    <s v="Clean"/>
    <s v="Match"/>
    <s v="Match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1"/>
    <s v="Unique"/>
    <n v="0.15"/>
    <n v="5847.5579999999991"/>
    <n v="1120.3079999999991"/>
    <n v="0.19158561573908275"/>
    <x v="5"/>
    <x v="1"/>
    <s v="Clean"/>
    <s v="Match"/>
    <s v="Match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1"/>
    <s v="Unique"/>
    <n v="0"/>
    <n v="2980.71"/>
    <n v="623.49000000000024"/>
    <n v="0.20917499521925992"/>
    <x v="6"/>
    <x v="1"/>
    <s v="Clean"/>
    <s v="Match"/>
    <s v="Match"/>
  </r>
  <r>
    <s v="ORD-2024-10009"/>
    <d v="2024-11-05T00:00:00"/>
    <d v="2024-11-10T00:00:00"/>
    <n v="5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1"/>
    <s v="Unique"/>
    <n v="0"/>
    <n v="25073.599999999999"/>
    <n v="7726.369999999999"/>
    <n v="0.30814761342607361"/>
    <x v="3"/>
    <x v="0"/>
    <s v="Clean"/>
    <s v="Match"/>
    <s v="Match"/>
  </r>
  <r>
    <s v="ORD-2025-10010"/>
    <d v="2025-09-07T00:00:00"/>
    <d v="2025-09-12T00:00:00"/>
    <n v="5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1"/>
    <s v="Unique"/>
    <n v="0.2"/>
    <n v="6134.6880000000001"/>
    <n v="2334.498"/>
    <n v="0.38054062407085737"/>
    <x v="7"/>
    <x v="1"/>
    <s v="Clean"/>
    <s v="Match"/>
    <s v="Match"/>
  </r>
  <r>
    <s v="ORD-2025-10011"/>
    <d v="2025-05-20T00:00:00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1"/>
    <s v="Unique"/>
    <n v="0.05"/>
    <n v="10074.2655"/>
    <n v="4025.9954999999991"/>
    <n v="0.39963166545491574"/>
    <x v="4"/>
    <x v="1"/>
    <s v="Clean"/>
    <s v="Match"/>
    <s v="Match"/>
  </r>
  <r>
    <s v="ORD-2024-10012"/>
    <d v="2024-07-22T00:00:00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n v="1"/>
    <s v="Unique"/>
    <n v="0.2"/>
    <n v="9628.5600000000013"/>
    <n v="1589.9700000000012"/>
    <n v="0.16513061143099289"/>
    <x v="0"/>
    <x v="0"/>
    <s v="Clean"/>
    <s v="Match"/>
    <s v="Match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1"/>
    <s v="Unique"/>
    <n v="0.15"/>
    <n v="596.81899999999996"/>
    <n v="216.56899999999996"/>
    <n v="0.36287216057129545"/>
    <x v="8"/>
    <x v="0"/>
    <s v="Clean"/>
    <s v="Match"/>
    <s v="Match"/>
  </r>
  <r>
    <s v="ORD-2025-10014"/>
    <d v="2025-10-12T00:00:00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1"/>
    <s v="Unique"/>
    <n v="0.05"/>
    <n v="26365.387999999995"/>
    <n v="4059.1479999999938"/>
    <n v="0.15395745361304733"/>
    <x v="9"/>
    <x v="1"/>
    <s v="Clean"/>
    <s v="Match"/>
    <s v="Match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1"/>
    <s v="Unique"/>
    <n v="0.25"/>
    <n v="4106.7449999999999"/>
    <n v="1440.4449999999997"/>
    <n v="0.35075102057712365"/>
    <x v="8"/>
    <x v="0"/>
    <s v="Clean"/>
    <s v="Match"/>
    <s v="Match"/>
  </r>
  <r>
    <s v="ORD-2024-10016"/>
    <d v="2024-07-09T00:00:00"/>
    <d v="2024-07-09T00:00:00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1"/>
    <s v="Unique"/>
    <n v="0"/>
    <n v="23794.560000000001"/>
    <n v="8096.090000000002"/>
    <n v="0.34024962008122872"/>
    <x v="0"/>
    <x v="0"/>
    <s v="Clean"/>
    <s v="Match"/>
    <s v="Match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1"/>
    <s v="Unique"/>
    <n v="0.25"/>
    <n v="9970.5300000000007"/>
    <n v="4302.3600000000006"/>
    <n v="0.43150765305354882"/>
    <x v="4"/>
    <x v="0"/>
    <s v="Clean"/>
    <s v="Match"/>
    <s v="Match"/>
  </r>
  <r>
    <s v="ORD-2024-10018"/>
    <d v="2024-01-07T00:00:00"/>
    <d v="2024-01-08T00:00:00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1"/>
    <s v="Unique"/>
    <n v="0"/>
    <n v="7633.9"/>
    <n v="2926.99"/>
    <n v="0.38342000812166782"/>
    <x v="10"/>
    <x v="0"/>
    <s v="Clean"/>
    <s v="Match"/>
    <s v="Match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n v="1"/>
    <s v="Unique"/>
    <n v="0"/>
    <n v="3995.98"/>
    <n v="1362.7800000000002"/>
    <n v="0.34103774293164635"/>
    <x v="0"/>
    <x v="1"/>
    <s v="Clean"/>
    <s v="Match"/>
    <s v="Match"/>
  </r>
  <r>
    <s v="ORD-2024-10020"/>
    <d v="2024-07-27T00:00:00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1"/>
    <s v="Unique"/>
    <n v="-0.19"/>
    <n v="13879.9458"/>
    <n v="6350.6357999999991"/>
    <n v="0.45754038895454474"/>
    <x v="0"/>
    <x v="0"/>
    <s v="Invalid"/>
    <s v="Mismatch"/>
    <s v="Mismatch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1"/>
    <s v="Unique"/>
    <n v="0.25"/>
    <n v="16398.975000000002"/>
    <n v="6842.4550000000017"/>
    <n v="0.4172489439126531"/>
    <x v="10"/>
    <x v="1"/>
    <s v="Clean"/>
    <s v="Match"/>
    <s v="Match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1"/>
    <s v="Unique"/>
    <n v="-0.23"/>
    <n v="3432.6348000000003"/>
    <n v="1394.9248000000002"/>
    <n v="0.40637145553613807"/>
    <x v="10"/>
    <x v="1"/>
    <s v="Invalid"/>
    <s v="Mismatch"/>
    <s v="Mismatch"/>
  </r>
  <r>
    <s v="ORD-2025-10023"/>
    <d v="2025-01-19T00:00:00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1"/>
    <s v="Unique"/>
    <n v="0.15"/>
    <n v="8291.5119999999988"/>
    <n v="1606.4819999999991"/>
    <n v="0.19375018693816029"/>
    <x v="10"/>
    <x v="1"/>
    <s v="Clean"/>
    <s v="Match"/>
    <s v="Match"/>
  </r>
  <r>
    <s v="ORD-2025-10024"/>
    <d v="2025-08-29T00:00:00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n v="1"/>
    <s v="Unique"/>
    <n v="0.2"/>
    <n v="6265.6320000000005"/>
    <n v="1943.7720000000008"/>
    <n v="0.31022760353624351"/>
    <x v="1"/>
    <x v="1"/>
    <s v="Clean"/>
    <s v="Match"/>
    <s v="Match"/>
  </r>
  <r>
    <s v="ORD-2024-10025"/>
    <d v="2024-03-04T00:00:00"/>
    <d v="2024-03-01T00:00:00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1"/>
    <s v="Unique"/>
    <n v="0.25"/>
    <n v="13478.82"/>
    <n v="2541.4699999999993"/>
    <n v="0.18855285551702591"/>
    <x v="11"/>
    <x v="0"/>
    <s v="Invalid"/>
    <s v="Match"/>
    <s v="Match"/>
  </r>
  <r>
    <s v="ORD-2024-10026"/>
    <d v="2024-10-11T00:00:00"/>
    <d v="2024-10-19T00:00:00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1"/>
    <s v="Unique"/>
    <n v="0.15"/>
    <n v="7335.8399999999992"/>
    <n v="2367.4299999999994"/>
    <n v="0.32272105171323251"/>
    <x v="9"/>
    <x v="0"/>
    <s v="Clean"/>
    <s v="Match"/>
    <s v="Match"/>
  </r>
  <r>
    <s v="ORD-2024-10027"/>
    <d v="2024-11-23T00:00:00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n v="1"/>
    <s v="Unique"/>
    <n v="0.1"/>
    <n v="2578.0680000000002"/>
    <n v="1050.5180000000003"/>
    <n v="0.40748265755596835"/>
    <x v="3"/>
    <x v="0"/>
    <s v="Clean"/>
    <s v="Match"/>
    <s v="Match"/>
  </r>
  <r>
    <s v="ORD-2025-10028"/>
    <d v="2025-09-29T00:00:00"/>
    <d v="2025-10-05T00:00:00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1"/>
    <s v="Unique"/>
    <n v="0.25"/>
    <n v="6774.4124999999995"/>
    <n v="2064.0524999999998"/>
    <n v="0.30468361647596748"/>
    <x v="7"/>
    <x v="1"/>
    <s v="Clean"/>
    <s v="Match"/>
    <s v="Match"/>
  </r>
  <r>
    <s v="ORD-2024-10029"/>
    <d v="2024-10-11T00:00:00"/>
    <d v="2024-10-18T00:00:00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n v="1"/>
    <s v="Unique"/>
    <n v="0.25"/>
    <n v="2913.33"/>
    <n v="791"/>
    <n v="0.27151060813570727"/>
    <x v="9"/>
    <x v="0"/>
    <s v="Clean"/>
    <s v="Match"/>
    <s v="Match"/>
  </r>
  <r>
    <s v="ORD-2025-10030"/>
    <d v="2025-08-13T00:00:00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n v="1"/>
    <s v="Unique"/>
    <n v="0.15"/>
    <n v="217.60849999999999"/>
    <n v="97.838499999999996"/>
    <n v="0.44960789675035673"/>
    <x v="1"/>
    <x v="1"/>
    <s v="Clean"/>
    <s v="Match"/>
    <s v="Match"/>
  </r>
  <r>
    <s v="ORD-2024-10031"/>
    <d v="2024-02-09T00:00:00"/>
    <d v="2024-02-12T00:00:00"/>
    <n v="3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1"/>
    <s v="Unique"/>
    <n v="0.1"/>
    <n v="3079.5929999999998"/>
    <n v="1077.7029999999997"/>
    <n v="0.34994981479695525"/>
    <x v="6"/>
    <x v="0"/>
    <s v="Clean"/>
    <s v="Match"/>
    <s v="Match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n v="1"/>
    <s v="Unique"/>
    <n v="0"/>
    <n v="27832.95"/>
    <n v="10063.200000000001"/>
    <n v="0.36155707533696574"/>
    <x v="2"/>
    <x v="1"/>
    <s v="Clean"/>
    <s v="Match"/>
    <s v="Match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n v="1"/>
    <s v="Unique"/>
    <n v="0"/>
    <n v="12003.75"/>
    <n v="4473.83"/>
    <n v="0.37270269707383108"/>
    <x v="3"/>
    <x v="0"/>
    <s v="Clean"/>
    <s v="Mismatch"/>
    <s v="Mismatch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1"/>
    <s v="Unique"/>
    <n v="0.25"/>
    <n v="2585.1525000000001"/>
    <n v="514.42250000000013"/>
    <n v="0.19899116203009304"/>
    <x v="0"/>
    <x v="0"/>
    <s v="Clean"/>
    <s v="Match"/>
    <s v="Match"/>
  </r>
  <r>
    <s v="ORD-2025-10035"/>
    <d v="2025-01-31T00:00:00"/>
    <d v="2025-02-05T00:00:00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1"/>
    <s v="Unique"/>
    <n v="0.2"/>
    <n v="6655.5039999999999"/>
    <n v="2315.2939999999999"/>
    <n v="0.34787658455317583"/>
    <x v="10"/>
    <x v="1"/>
    <s v="Clean"/>
    <s v="Match"/>
    <s v="Mismatch"/>
  </r>
  <r>
    <s v="ORD-2024-10036"/>
    <d v="2024-05-29T00:00:00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n v="1"/>
    <s v="Unique"/>
    <n v="0.05"/>
    <n v="19054.111999999997"/>
    <n v="3740.2819999999974"/>
    <n v="0.19629789097492437"/>
    <x v="4"/>
    <x v="0"/>
    <s v="Clean"/>
    <s v="Match"/>
    <s v="Match"/>
  </r>
  <r>
    <s v="ORD-2024-10037"/>
    <d v="2024-10-25T00:00:00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1"/>
    <s v="Unique"/>
    <n v="0"/>
    <n v="9379.41"/>
    <n v="2708.5599999999995"/>
    <n v="0.28877722585962223"/>
    <x v="9"/>
    <x v="0"/>
    <s v="Clean"/>
    <s v="Match"/>
    <s v="Match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1"/>
    <s v="Unique"/>
    <n v="0.2"/>
    <n v="4248.1279999999997"/>
    <n v="927.03799999999956"/>
    <n v="0.21822270892025844"/>
    <x v="0"/>
    <x v="1"/>
    <s v="Clean"/>
    <s v="Match"/>
    <s v="Match"/>
  </r>
  <r>
    <s v="ORD-2024-10039"/>
    <d v="2024-06-17T00:00:00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n v="1"/>
    <s v="Unique"/>
    <n v="0.1"/>
    <n v="13927.284"/>
    <n v="3422.4139999999989"/>
    <n v="0.24573448778670692"/>
    <x v="2"/>
    <x v="0"/>
    <s v="Clean"/>
    <s v="Match"/>
    <s v="Match"/>
  </r>
  <r>
    <s v="ORD-2024-10040"/>
    <d v="2024-12-11T00:00:00"/>
    <d v="2024-12-11T00:00:00"/>
    <n v="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1"/>
    <s v="Unique"/>
    <n v="0.1"/>
    <n v="4935.3120000000008"/>
    <n v="1560.5420000000008"/>
    <n v="0.31619925954022776"/>
    <x v="8"/>
    <x v="0"/>
    <s v="Clean"/>
    <s v="Match"/>
    <s v="Match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1"/>
    <s v="Unique"/>
    <n v="0.2"/>
    <n v="14051.912"/>
    <n v="2061.5419999999995"/>
    <n v="0.14670900301681361"/>
    <x v="9"/>
    <x v="0"/>
    <s v="Clean"/>
    <s v="Match"/>
    <s v="Match"/>
  </r>
  <r>
    <s v="ORD-2024-10042"/>
    <d v="2024-03-12T00:00:00"/>
    <d v="2024-03-17T00:00:00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n v="1"/>
    <s v="Unique"/>
    <n v="0"/>
    <n v="6846.48"/>
    <n v="2606.5899999999992"/>
    <n v="0.38071972750961069"/>
    <x v="11"/>
    <x v="0"/>
    <s v="Clean"/>
    <s v="Match"/>
    <s v="Match"/>
  </r>
  <r>
    <s v="ORD-2025-10043"/>
    <d v="2025-10-10T00:00:00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1"/>
    <s v="Unique"/>
    <n v="0.05"/>
    <n v="7447.0119999999997"/>
    <n v="2950.7919999999995"/>
    <n v="0.39623838393170302"/>
    <x v="9"/>
    <x v="1"/>
    <s v="Clean"/>
    <s v="Match"/>
    <s v="Match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1"/>
    <s v="Unique"/>
    <n v="0"/>
    <n v="3030.69"/>
    <n v="1309.6100000000001"/>
    <n v="0.43211611877163292"/>
    <x v="0"/>
    <x v="0"/>
    <s v="Clean"/>
    <s v="Match"/>
    <s v="Match"/>
  </r>
  <r>
    <s v="ORD-2024-10045"/>
    <d v="2024-06-22T00:00:00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n v="1"/>
    <s v="Unique"/>
    <n v="0.1"/>
    <n v="26971.137000000002"/>
    <n v="9594.9370000000017"/>
    <n v="0.35574833200394929"/>
    <x v="2"/>
    <x v="0"/>
    <s v="Clean"/>
    <s v="Match"/>
    <s v="Match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n v="1"/>
    <s v="Unique"/>
    <n v="0.05"/>
    <n v="29851.432000000001"/>
    <n v="12363.952000000001"/>
    <n v="0.41418287739094062"/>
    <x v="10"/>
    <x v="0"/>
    <s v="Clean"/>
    <s v="Match"/>
    <s v="Match"/>
  </r>
  <r>
    <s v="ORD-2024-10047"/>
    <d v="2024-07-19T00:00:00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n v="1"/>
    <s v="Unique"/>
    <n v="0.25"/>
    <n v="16110.8325"/>
    <n v="5430.8024999999998"/>
    <n v="0.33709012243780695"/>
    <x v="0"/>
    <x v="0"/>
    <s v="Clean"/>
    <s v="Match"/>
    <s v="Match"/>
  </r>
  <r>
    <s v="ORD-2024-10048"/>
    <d v="2024-08-12T00:00:00"/>
    <d v="2024-08-12T00:00:00"/>
    <n v="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1"/>
    <s v="Unique"/>
    <n v="0.1"/>
    <n v="17606.232"/>
    <n v="5167.2720000000008"/>
    <n v="0.29349107747756592"/>
    <x v="1"/>
    <x v="0"/>
    <s v="Clean"/>
    <s v="Match"/>
    <s v="Match"/>
  </r>
  <r>
    <s v="ORD-2025-10049"/>
    <d v="2025-01-30T00:00:00"/>
    <d v="2025-02-05T00:00:00"/>
    <n v="6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1"/>
    <s v="Unique"/>
    <n v="0"/>
    <n v="28445.62"/>
    <n v="7507.0299999999988"/>
    <n v="0.26390811660986818"/>
    <x v="10"/>
    <x v="1"/>
    <s v="Clean"/>
    <s v="Match"/>
    <s v="Match"/>
  </r>
  <r>
    <s v="ORD-2024-10050"/>
    <d v="2024-04-06T00:00:0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1"/>
    <s v="Unique"/>
    <n v="0.05"/>
    <n v="6772.5404999999992"/>
    <n v="1017.0804999999991"/>
    <n v="0.15017710119267641"/>
    <x v="5"/>
    <x v="0"/>
    <s v="Clean"/>
    <s v="Match"/>
    <s v="Match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1"/>
    <s v="Unique"/>
    <n v="0.15"/>
    <n v="2025.38"/>
    <n v="884.73"/>
    <n v="0.43682173221815163"/>
    <x v="4"/>
    <x v="1"/>
    <s v="Clean"/>
    <s v="Match"/>
    <s v="Match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1"/>
    <s v="Unique"/>
    <n v="0"/>
    <n v="9168.48"/>
    <n v="1728.7099999999991"/>
    <n v="0.18854924698532355"/>
    <x v="5"/>
    <x v="0"/>
    <s v="Clean"/>
    <s v="Match"/>
    <s v="Match"/>
  </r>
  <r>
    <s v="ORD-2024-10053"/>
    <d v="2024-10-26T00:00:00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n v="1"/>
    <s v="Unique"/>
    <n v="0"/>
    <n v="12596.670000000002"/>
    <n v="1993.380000000001"/>
    <n v="0.15824658421630483"/>
    <x v="9"/>
    <x v="0"/>
    <s v="Clean"/>
    <s v="Match"/>
    <s v="Match"/>
  </r>
  <r>
    <s v="ORD-2025-10054"/>
    <d v="2025-03-31T00:00:00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1"/>
    <s v="Unique"/>
    <n v="0.15"/>
    <n v="5131.7475000000004"/>
    <n v="2293.0675000000006"/>
    <n v="0.44683950252813498"/>
    <x v="11"/>
    <x v="1"/>
    <s v="Clean"/>
    <s v="Match"/>
    <s v="Match"/>
  </r>
  <r>
    <s v="ORD-2025-10055"/>
    <d v="2025-05-30T00:00:00"/>
    <d v="2025-06-02T00:00:00"/>
    <n v="3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1"/>
    <s v="Unique"/>
    <n v="0.1"/>
    <n v="3415.4639999999999"/>
    <n v="1422.2339999999999"/>
    <n v="0.4164101861416194"/>
    <x v="4"/>
    <x v="1"/>
    <s v="Clean"/>
    <s v="Match"/>
    <s v="Match"/>
  </r>
  <r>
    <s v="ORD-2025-10056"/>
    <d v="2025-07-01T00:00:00"/>
    <d v="2025-07-03T00:00:00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1"/>
    <s v="Unique"/>
    <n v="0.25"/>
    <n v="3411.54"/>
    <n v="608.40999999999985"/>
    <n v="0.17833881472883209"/>
    <x v="0"/>
    <x v="1"/>
    <s v="Clean"/>
    <s v="Match"/>
    <s v="Match"/>
  </r>
  <r>
    <s v="ORD-2025-10057"/>
    <d v="2025-01-05T00:00:00"/>
    <d v="2025-01-06T00:00:00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1"/>
    <s v="Unique"/>
    <n v="0"/>
    <n v="9466.83"/>
    <n v="2909"/>
    <n v="0.30728343067320318"/>
    <x v="10"/>
    <x v="1"/>
    <s v="Clean"/>
    <s v="Match"/>
    <s v="Match"/>
  </r>
  <r>
    <s v="ORD-2024-10058"/>
    <d v="2024-02-07T00:00:00"/>
    <d v="2024-02-15T00:00:00"/>
    <n v="8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1"/>
    <s v="Unique"/>
    <n v="0"/>
    <n v="1279.3499999999999"/>
    <n v="187.80999999999995"/>
    <n v="0.14680110993864068"/>
    <x v="6"/>
    <x v="0"/>
    <s v="Clean"/>
    <s v="Match"/>
    <s v="Match"/>
  </r>
  <r>
    <s v="ORD-2024-10059"/>
    <d v="2024-09-01T00:00:00"/>
    <d v="2024-09-07T00:00:00"/>
    <n v="6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1"/>
    <s v="Unique"/>
    <n v="0.1"/>
    <n v="11254.788"/>
    <n v="4676.7280000000001"/>
    <n v="0.41553230500654476"/>
    <x v="7"/>
    <x v="0"/>
    <s v="Clean"/>
    <s v="Match"/>
    <s v="Match"/>
  </r>
  <r>
    <s v="ORD-2024-10060"/>
    <d v="2024-07-20T00:00:00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n v="1"/>
    <s v="Unique"/>
    <n v="0.2"/>
    <n v="16535.400000000001"/>
    <n v="3545.1900000000023"/>
    <n v="0.21440001451431487"/>
    <x v="0"/>
    <x v="0"/>
    <s v="Clean"/>
    <s v="Match"/>
    <s v="Match"/>
  </r>
  <r>
    <s v="ORD-2024-10061"/>
    <d v="2024-07-13T00:00:00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1"/>
    <s v="Unique"/>
    <n v="0.2"/>
    <n v="661.82400000000007"/>
    <n v="180.35400000000004"/>
    <n v="0.27251051639106472"/>
    <x v="0"/>
    <x v="0"/>
    <s v="Clean"/>
    <s v="Match"/>
    <s v="Match"/>
  </r>
  <r>
    <s v="ORD-2024-10062"/>
    <d v="2024-04-16T00:00:00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1"/>
    <s v="Unique"/>
    <n v="0"/>
    <n v="949.59"/>
    <n v="198.34000000000003"/>
    <n v="0.20886909087079689"/>
    <x v="5"/>
    <x v="0"/>
    <s v="Clean"/>
    <s v="Match"/>
    <s v="Match"/>
  </r>
  <r>
    <s v="ORD-2024-10063"/>
    <d v="2024-10-30T00:00:00"/>
    <d v="2024-11-02T00:00:00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1"/>
    <s v="Unique"/>
    <n v="0.2"/>
    <n v="21904.488000000001"/>
    <n v="8333.9380000000019"/>
    <n v="0.38046714445003244"/>
    <x v="9"/>
    <x v="0"/>
    <s v="Clean"/>
    <s v="Match"/>
    <s v="Match"/>
  </r>
  <r>
    <s v="ORD-2024-10064"/>
    <d v="2024-01-25T00:00:00"/>
    <d v="2024-02-01T00:00:00"/>
    <n v="7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1"/>
    <s v="Unique"/>
    <n v="0.15"/>
    <n v="4815.7089999999998"/>
    <n v="1787.9589999999998"/>
    <n v="0.37127637903369992"/>
    <x v="10"/>
    <x v="0"/>
    <s v="Clean"/>
    <s v="Match"/>
    <s v="Mismatch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1"/>
    <s v="Unique"/>
    <n v="0"/>
    <n v="3134.8799999999997"/>
    <n v="767.24999999999955"/>
    <n v="0.24474621038125849"/>
    <x v="8"/>
    <x v="0"/>
    <s v="Clean"/>
    <s v="Match"/>
    <s v="Match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1"/>
    <s v="Unique"/>
    <n v="0.05"/>
    <n v="4066.1804999999995"/>
    <n v="1437.2604999999994"/>
    <n v="0.35346696980126674"/>
    <x v="5"/>
    <x v="0"/>
    <s v="Clean"/>
    <s v="Match"/>
    <s v="Match"/>
  </r>
  <r>
    <s v="ORD-2025-10067"/>
    <d v="2025-08-28T00:00:00"/>
    <d v="2025-09-01T00:00:00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1"/>
    <s v="Unique"/>
    <n v="0.05"/>
    <n v="7032.1089999999995"/>
    <n v="2421.7689999999993"/>
    <n v="0.34438729547565311"/>
    <x v="1"/>
    <x v="1"/>
    <s v="Clean"/>
    <s v="Match"/>
    <s v="Match"/>
  </r>
  <r>
    <s v="ORD-2025-10068"/>
    <d v="2025-02-03T00:00:00"/>
    <d v="2025-02-07T00:00:00"/>
    <n v="4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1"/>
    <s v="Unique"/>
    <n v="0.05"/>
    <n v="24002.111000000001"/>
    <n v="5294.5410000000011"/>
    <n v="0.2205864725815159"/>
    <x v="6"/>
    <x v="1"/>
    <s v="Clean"/>
    <s v="Match"/>
    <s v="Match"/>
  </r>
  <r>
    <s v="ORD-2024-10069"/>
    <d v="2024-11-10T00:00:00"/>
    <d v="2024-11-13T00:00:00"/>
    <n v="3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1"/>
    <s v="Unique"/>
    <n v="0"/>
    <n v="19900.079999999998"/>
    <n v="8937.4199999999983"/>
    <n v="0.44911477742803041"/>
    <x v="3"/>
    <x v="0"/>
    <s v="Clean"/>
    <s v="Match"/>
    <s v="Match"/>
  </r>
  <r>
    <s v="ORD-2024-10070"/>
    <d v="2024-04-09T00:00:0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1"/>
    <s v="Unique"/>
    <n v="0.1"/>
    <n v="21527.667000000001"/>
    <n v="3240.0869999999995"/>
    <n v="0.15050804158202555"/>
    <x v="5"/>
    <x v="0"/>
    <s v="Clean"/>
    <s v="Match"/>
    <s v="Match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1"/>
    <s v="Unique"/>
    <n v="0.15"/>
    <n v="1539.979"/>
    <n v="469.779"/>
    <n v="0.30505545854846072"/>
    <x v="1"/>
    <x v="1"/>
    <s v="Clean"/>
    <s v="Match"/>
    <s v="Match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1"/>
    <s v="Unique"/>
    <n v="0.1"/>
    <n v="10947.528"/>
    <n v="4500.1680000000006"/>
    <n v="0.41106704636882413"/>
    <x v="5"/>
    <x v="1"/>
    <s v="Clean"/>
    <s v="Match"/>
    <s v="Match"/>
  </r>
  <r>
    <s v="ORD-2024-10073"/>
    <d v="2024-02-11T00:00:00"/>
    <d v="2024-02-07T00:00:00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1"/>
    <s v="Unique"/>
    <n v="0.15"/>
    <n v="13610.446499999998"/>
    <n v="3571.3964999999989"/>
    <n v="0.26240112695788487"/>
    <x v="6"/>
    <x v="0"/>
    <s v="Invalid"/>
    <s v="Match"/>
    <s v="Match"/>
  </r>
  <r>
    <s v="ORD-2025-10074"/>
    <d v="2025-03-29T00:00:00"/>
    <d v="2025-04-03T00:00:00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n v="1"/>
    <s v="Unique"/>
    <n v="0"/>
    <n v="7128.7"/>
    <n v="2746.55"/>
    <n v="0.38528062620113068"/>
    <x v="11"/>
    <x v="1"/>
    <s v="Clean"/>
    <s v="Match"/>
    <s v="Match"/>
  </r>
  <r>
    <s v="ORD-2025-10075"/>
    <d v="2025-02-27T00:00:00"/>
    <d v="2025-03-01T00:00:00"/>
    <n v="2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1"/>
    <s v="Unique"/>
    <n v="0"/>
    <n v="3309.84"/>
    <n v="638.76000000000022"/>
    <n v="0.19298818069755644"/>
    <x v="6"/>
    <x v="1"/>
    <s v="Clean"/>
    <s v="Match"/>
    <s v="Match"/>
  </r>
  <r>
    <s v="ORD-2025-10076"/>
    <d v="2025-08-22T00:00:00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n v="1"/>
    <s v="Unique"/>
    <n v="0.2"/>
    <n v="7907.5680000000011"/>
    <n v="2516.3880000000008"/>
    <n v="0.31822527482533197"/>
    <x v="1"/>
    <x v="1"/>
    <s v="Clean"/>
    <s v="Match"/>
    <s v="Match"/>
  </r>
  <r>
    <s v="ORD-2024-10077"/>
    <d v="2024-11-03T00:00:00"/>
    <d v="2024-11-11T00:00:00"/>
    <n v="8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1"/>
    <s v="Unique"/>
    <n v="0"/>
    <n v="10218.81"/>
    <n v="2601.8399999999992"/>
    <n v="0.2546128169522674"/>
    <x v="3"/>
    <x v="0"/>
    <s v="Clean"/>
    <s v="Match"/>
    <s v="Match"/>
  </r>
  <r>
    <s v="ORD-2025-10078"/>
    <d v="2025-07-08T00:00:00"/>
    <d v="2025-07-12T00:00:00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1"/>
    <s v="Unique"/>
    <n v="0.15"/>
    <n v="2194.87"/>
    <n v="971.69999999999982"/>
    <n v="0.44271414707932583"/>
    <x v="0"/>
    <x v="1"/>
    <s v="Clean"/>
    <s v="Match"/>
    <s v="Match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1"/>
    <s v="Unique"/>
    <n v="0.15"/>
    <n v="9050.4175000000014"/>
    <n v="2271.567500000001"/>
    <n v="0.25099035486484472"/>
    <x v="0"/>
    <x v="1"/>
    <s v="Clean"/>
    <s v="Match"/>
    <s v="Match"/>
  </r>
  <r>
    <s v="ORD-2025-10080"/>
    <d v="2025-09-27T00:00:00"/>
    <d v="2025-10-03T00:00:00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1"/>
    <s v="Unique"/>
    <n v="0.1"/>
    <n v="33465.312000000005"/>
    <n v="8684.052000000007"/>
    <n v="0.25949412932411942"/>
    <x v="7"/>
    <x v="1"/>
    <s v="Clean"/>
    <s v="Match"/>
    <s v="Match"/>
  </r>
  <r>
    <s v="ORD-2024-10081"/>
    <d v="2024-08-10T00:00:00"/>
    <d v="2024-08-14T00:00:00"/>
    <n v="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1"/>
    <s v="Unique"/>
    <n v="0.1"/>
    <n v="4256.3519999999999"/>
    <n v="1761.0219999999999"/>
    <n v="0.41373974708858663"/>
    <x v="1"/>
    <x v="0"/>
    <s v="Clean"/>
    <s v="Match"/>
    <s v="Match"/>
  </r>
  <r>
    <s v="ORD-2025-10082"/>
    <d v="2025-03-16T00:00:00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n v="1"/>
    <s v="Unique"/>
    <n v="0"/>
    <n v="5525.7300000000005"/>
    <n v="2432.3100000000004"/>
    <n v="0.44017894468242208"/>
    <x v="11"/>
    <x v="1"/>
    <s v="Clean"/>
    <s v="Match"/>
    <s v="Match"/>
  </r>
  <r>
    <s v="ORD-2024-10083"/>
    <d v="2024-08-03T00:00:00"/>
    <d v="2024-08-04T00:00:00"/>
    <n v="1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1"/>
    <s v="Unique"/>
    <n v="0"/>
    <n v="6010.38"/>
    <n v="2247.5300000000002"/>
    <n v="0.37394141468592673"/>
    <x v="1"/>
    <x v="0"/>
    <s v="Clean"/>
    <s v="Match"/>
    <s v="Match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1"/>
    <s v="Unique"/>
    <n v="0.2"/>
    <n v="948.52800000000013"/>
    <n v="273.90800000000013"/>
    <n v="0.28877165460587362"/>
    <x v="9"/>
    <x v="0"/>
    <s v="Clean"/>
    <s v="Match"/>
    <s v="Match"/>
  </r>
  <r>
    <s v="ORD-2024-10085"/>
    <d v="2024-10-01T00:00:00"/>
    <d v="2024-10-03T00:00:00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1"/>
    <s v="Unique"/>
    <n v="0.2"/>
    <n v="2737.3440000000001"/>
    <n v="651.904"/>
    <n v="0.23815201889130486"/>
    <x v="9"/>
    <x v="0"/>
    <s v="Clean"/>
    <s v="Match"/>
    <s v="Match"/>
  </r>
  <r>
    <s v="ORD-2024-10086"/>
    <d v="2024-07-30T00:00:00"/>
    <d v="2024-08-05T00:00:00"/>
    <n v="6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1"/>
    <s v="Unique"/>
    <n v="0"/>
    <n v="608.64"/>
    <n v="264.64999999999998"/>
    <n v="0.43482189800210302"/>
    <x v="0"/>
    <x v="0"/>
    <s v="Clean"/>
    <s v="Match"/>
    <s v="Match"/>
  </r>
  <r>
    <s v="ORD-2024-10087"/>
    <d v="2024-07-01T00:00:00"/>
    <d v="2024-07-01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1"/>
    <s v="Unique"/>
    <n v="0.1"/>
    <n v="2390.2560000000003"/>
    <n v="894.31600000000026"/>
    <n v="0.37415071858411825"/>
    <x v="0"/>
    <x v="0"/>
    <s v="Clean"/>
    <s v="Match"/>
    <s v="Match"/>
  </r>
  <r>
    <s v="ORD-2024-10088"/>
    <d v="2024-08-02T00:00:00"/>
    <d v="2024-08-03T00:00:00"/>
    <n v="1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1"/>
    <s v="Unique"/>
    <n v="0"/>
    <n v="23416.539999999997"/>
    <n v="7925.6499999999978"/>
    <n v="0.33846375254414185"/>
    <x v="1"/>
    <x v="0"/>
    <s v="Clean"/>
    <s v="Match"/>
    <s v="Match"/>
  </r>
  <r>
    <s v="ORD-2024-10089"/>
    <d v="2024-03-24T00:00:00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1"/>
    <s v="Unique"/>
    <n v="0.05"/>
    <n v="6241.0249999999996"/>
    <n v="895.14499999999953"/>
    <n v="0.14342916427990587"/>
    <x v="11"/>
    <x v="0"/>
    <s v="Clean"/>
    <s v="Match"/>
    <s v="Match"/>
  </r>
  <r>
    <s v="ORD-2024-10090"/>
    <d v="2024-09-05T00:00:00"/>
    <d v="2024-09-05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1"/>
    <s v="Unique"/>
    <n v="0.2"/>
    <n v="21062.104000000003"/>
    <n v="9004.9740000000038"/>
    <n v="0.42754389589947911"/>
    <x v="7"/>
    <x v="0"/>
    <s v="Clean"/>
    <s v="Match"/>
    <s v="Match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2"/>
    <s v="Review Required"/>
    <n v="0.15"/>
    <n v="9445.098"/>
    <n v="3858.8180000000002"/>
    <n v="0.40855245758170006"/>
    <x v="1"/>
    <x v="1"/>
    <s v="Warning"/>
    <s v="Match"/>
    <s v="Match"/>
  </r>
  <r>
    <s v="ORD-2025-10092"/>
    <d v="2025-03-02T00:00:00"/>
    <d v="2025-03-08T00:00:00"/>
    <n v="6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1"/>
    <s v="Unique"/>
    <n v="0"/>
    <n v="2427.12"/>
    <n v="888.77"/>
    <n v="0.36618296581957216"/>
    <x v="11"/>
    <x v="1"/>
    <s v="Clean"/>
    <s v="Match"/>
    <s v="Mismatch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1"/>
    <s v="Unique"/>
    <n v="0.1"/>
    <n v="36111.906000000003"/>
    <n v="6917.4060000000027"/>
    <n v="0.19155471882320479"/>
    <x v="10"/>
    <x v="1"/>
    <s v="Clean"/>
    <s v="Match"/>
    <s v="Match"/>
  </r>
  <r>
    <s v="ORD-2024-10094"/>
    <d v="2024-01-07T00:00:00"/>
    <d v="2024-01-13T00:00:00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n v="1"/>
    <s v="Unique"/>
    <n v="-0.09"/>
    <n v="21279.841099999998"/>
    <n v="8824.0610999999972"/>
    <n v="0.41466762174272054"/>
    <x v="10"/>
    <x v="0"/>
    <s v="Invalid"/>
    <s v="Mismatch"/>
    <s v="Mismatch"/>
  </r>
  <r>
    <s v="ORD-2024-10095"/>
    <d v="2024-09-06T00:00:00"/>
    <d v="2024-09-09T00:00:00"/>
    <n v="3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1"/>
    <s v="Unique"/>
    <n v="0"/>
    <n v="26470.710000000003"/>
    <n v="5103.1100000000042"/>
    <n v="0.19278326875251944"/>
    <x v="7"/>
    <x v="0"/>
    <s v="Clean"/>
    <s v="Match"/>
    <s v="Match"/>
  </r>
  <r>
    <s v="ORD-2025-10096"/>
    <d v="2025-09-05T00:00:00"/>
    <d v="2025-09-10T00:00:00"/>
    <n v="5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1"/>
    <s v="Unique"/>
    <n v="0"/>
    <n v="10524.78"/>
    <n v="1683.7300000000014"/>
    <n v="0.15997769074507984"/>
    <x v="7"/>
    <x v="1"/>
    <s v="Clean"/>
    <s v="Match"/>
    <s v="Match"/>
  </r>
  <r>
    <s v="ORD-2024-10097"/>
    <d v="2024-06-05T00:00:00"/>
    <d v="2024-06-07T00:00:00"/>
    <n v="2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1"/>
    <s v="Unique"/>
    <n v="0.15"/>
    <n v="3840.7079999999996"/>
    <n v="1324.4179999999997"/>
    <n v="0.34483694152224009"/>
    <x v="2"/>
    <x v="0"/>
    <s v="Clean"/>
    <s v="Match"/>
    <s v="Match"/>
  </r>
  <r>
    <s v="ORD-2025-10098"/>
    <d v="2025-08-08T00:00:00"/>
    <d v="2025-08-11T00:00:00"/>
    <n v="3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1"/>
    <s v="Unique"/>
    <n v="0.2"/>
    <n v="14409.44"/>
    <n v="5599.4700000000012"/>
    <n v="0.38859733619071951"/>
    <x v="1"/>
    <x v="1"/>
    <s v="Clean"/>
    <s v="Match"/>
    <s v="Match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1"/>
    <s v="Unique"/>
    <n v="0.1"/>
    <n v="15184.295999999998"/>
    <n v="3913.5559999999987"/>
    <n v="0.25773707256497103"/>
    <x v="10"/>
    <x v="0"/>
    <s v="Clean"/>
    <s v="Match"/>
    <s v="Match"/>
  </r>
  <r>
    <s v="ORD-2025-10100"/>
    <d v="2025-01-11T00:00:00"/>
    <d v="2025-01-1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1"/>
    <s v="Unique"/>
    <n v="0"/>
    <n v="6495.87"/>
    <n v="1794.9799999999996"/>
    <n v="0.27632634273777024"/>
    <x v="10"/>
    <x v="1"/>
    <s v="Clean"/>
    <s v="Match"/>
    <s v="Match"/>
  </r>
  <r>
    <s v="ORD-2025-10101"/>
    <d v="2025-09-12T00:00:00"/>
    <d v="2025-09-18T00:00:00"/>
    <n v="6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1"/>
    <s v="Unique"/>
    <n v="0.05"/>
    <n v="9540.659999999998"/>
    <n v="3979.1699999999983"/>
    <n v="0.41707491934520241"/>
    <x v="7"/>
    <x v="1"/>
    <s v="Clean"/>
    <s v="Match"/>
    <s v="Match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1"/>
    <s v="Unique"/>
    <n v="0.25"/>
    <n v="16486.95"/>
    <n v="4432.8100000000013"/>
    <n v="0.26886780150361356"/>
    <x v="2"/>
    <x v="0"/>
    <s v="Clean"/>
    <s v="Match"/>
    <s v="Match"/>
  </r>
  <r>
    <s v="ORD-2025-10103"/>
    <d v="2025-07-12T00:00:00"/>
    <d v="2025-07-16T00:00:00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1"/>
    <s v="Unique"/>
    <n v="0"/>
    <n v="11462.84"/>
    <n v="2483.0599999999995"/>
    <n v="0.21661822026653077"/>
    <x v="0"/>
    <x v="1"/>
    <s v="Clean"/>
    <s v="Match"/>
    <s v="Match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1"/>
    <s v="Unique"/>
    <n v="0.2"/>
    <n v="7809.0880000000006"/>
    <n v="1151.3380000000006"/>
    <n v="0.14743565445798543"/>
    <x v="4"/>
    <x v="1"/>
    <s v="Clean"/>
    <s v="Match"/>
    <s v="Match"/>
  </r>
  <r>
    <s v="ORD-2025-10105"/>
    <d v="2025-02-01T00:00:00"/>
    <d v="2025-02-08T00:00:00"/>
    <n v="7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1"/>
    <s v="Unique"/>
    <n v="0.25"/>
    <n v="7922.0250000000005"/>
    <n v="2302.0750000000007"/>
    <n v="0.29059173633004193"/>
    <x v="6"/>
    <x v="1"/>
    <s v="Clean"/>
    <s v="Mismatch"/>
    <s v="Match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1"/>
    <s v="Unique"/>
    <n v="0.1"/>
    <n v="1233"/>
    <n v="226.10000000000002"/>
    <n v="0.18337388483373887"/>
    <x v="2"/>
    <x v="0"/>
    <s v="Clean"/>
    <s v="Match"/>
    <s v="Match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n v="1"/>
    <s v="Unique"/>
    <n v="0"/>
    <n v="8008.08"/>
    <n v="2298.6899999999996"/>
    <n v="0.28704633320346445"/>
    <x v="6"/>
    <x v="0"/>
    <s v="Clean"/>
    <s v="Mismatch"/>
    <s v="Mismatch"/>
  </r>
  <r>
    <s v="ORD-2024-10108"/>
    <d v="2024-10-29T00:00:00"/>
    <d v="2024-11-04T00:00:00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1"/>
    <s v="Unique"/>
    <n v="0.05"/>
    <n v="12263.236500000001"/>
    <n v="3337.6665000000012"/>
    <n v="0.27216848504878799"/>
    <x v="9"/>
    <x v="0"/>
    <s v="Clean"/>
    <s v="Match"/>
    <s v="Match"/>
  </r>
  <r>
    <s v="ORD-2024-10109"/>
    <d v="2024-08-15T00:00:00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1"/>
    <s v="Unique"/>
    <n v="0.25"/>
    <n v="806.31"/>
    <n v="307.80999999999995"/>
    <n v="0.38175143555208291"/>
    <x v="1"/>
    <x v="0"/>
    <s v="Clean"/>
    <s v="Match"/>
    <s v="Match"/>
  </r>
  <r>
    <s v="ORD-2025-10110"/>
    <d v="2025-08-23T00:00:00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n v="1"/>
    <s v="Unique"/>
    <n v="0.25"/>
    <n v="2091.4650000000001"/>
    <n v="774.24500000000012"/>
    <n v="0.37019266399389905"/>
    <x v="1"/>
    <x v="1"/>
    <s v="Clean"/>
    <s v="Match"/>
    <s v="Match"/>
  </r>
  <r>
    <s v="ORD-2024-10111"/>
    <d v="2024-10-18T00:00:00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1"/>
    <s v="Unique"/>
    <n v="0"/>
    <n v="4500.9399999999996"/>
    <n v="1893.2099999999996"/>
    <n v="0.42062546934640316"/>
    <x v="9"/>
    <x v="0"/>
    <s v="Clean"/>
    <s v="Match"/>
    <s v="Match"/>
  </r>
  <r>
    <s v="ORD-2025-10112"/>
    <d v="2025-06-27T00:00:00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1"/>
    <s v="Unique"/>
    <n v="0.05"/>
    <n v="1623.018"/>
    <n v="545.55799999999999"/>
    <n v="0.3361379849145234"/>
    <x v="2"/>
    <x v="1"/>
    <s v="Clean"/>
    <s v="Match"/>
    <s v="Match"/>
  </r>
  <r>
    <s v="ORD-2024-10113"/>
    <d v="2024-01-10T00:00:00"/>
    <d v="2024-01-14T00:00:00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n v="1"/>
    <s v="Unique"/>
    <n v="0.05"/>
    <n v="10914.018"/>
    <n v="4365.2780000000002"/>
    <n v="0.39996983695647198"/>
    <x v="10"/>
    <x v="0"/>
    <s v="Clean"/>
    <s v="Match"/>
    <s v="Match"/>
  </r>
  <r>
    <s v="ORD-2024-10114"/>
    <d v="2024-02-12T00:00:00"/>
    <d v="2024-02-1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1"/>
    <s v="Unique"/>
    <n v="0.25"/>
    <n v="2450.5875000000001"/>
    <n v="810.69749999999999"/>
    <n v="0.33081761006289306"/>
    <x v="6"/>
    <x v="0"/>
    <s v="Clean"/>
    <s v="Match"/>
    <s v="Match"/>
  </r>
  <r>
    <s v="ORD-2024-10115"/>
    <d v="2024-09-25T00:00:00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1"/>
    <s v="Unique"/>
    <n v="0.1"/>
    <n v="3949.56"/>
    <n v="762.82999999999993"/>
    <n v="0.19314303365438173"/>
    <x v="7"/>
    <x v="0"/>
    <s v="Clean"/>
    <s v="Match"/>
    <s v="Match"/>
  </r>
  <r>
    <s v="ORD-2024-10116"/>
    <d v="2024-12-27T00:00:00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1"/>
    <s v="Unique"/>
    <n v="0.15"/>
    <n v="758.77799999999991"/>
    <n v="268.0379999999999"/>
    <n v="0.35324956706704719"/>
    <x v="8"/>
    <x v="0"/>
    <s v="Clean"/>
    <s v="Match"/>
    <s v="Match"/>
  </r>
  <r>
    <s v="ORD-2025-10117"/>
    <d v="2025-02-15T00:00:00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1"/>
    <s v="Unique"/>
    <n v="0.25"/>
    <n v="3590.9324999999999"/>
    <n v="529.54250000000002"/>
    <n v="0.14746657031286442"/>
    <x v="6"/>
    <x v="1"/>
    <s v="Clean"/>
    <s v="Match"/>
    <s v="Match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n v="1"/>
    <s v="Unique"/>
    <n v="0.7"/>
    <n v="8976.2850000000017"/>
    <n v="-11393.874999999998"/>
    <n v="-1.2693307977632167"/>
    <x v="6"/>
    <x v="0"/>
    <s v="Clean"/>
    <s v="Mismatch"/>
    <s v="Mismatch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1"/>
    <s v="Unique"/>
    <n v="0.2"/>
    <n v="6321.0800000000008"/>
    <n v="1913.8600000000006"/>
    <n v="0.30277420947053357"/>
    <x v="2"/>
    <x v="0"/>
    <s v="Clean"/>
    <s v="Match"/>
    <s v="Match"/>
  </r>
  <r>
    <s v="ORD-2024-10120"/>
    <d v="2024-06-12T00:00:00"/>
    <d v="2024-06-19T00:00:00"/>
    <n v="7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1"/>
    <s v="Unique"/>
    <n v="0.25"/>
    <n v="1884.3000000000002"/>
    <n v="366.61000000000013"/>
    <n v="0.19456031417502526"/>
    <x v="2"/>
    <x v="0"/>
    <s v="Clean"/>
    <s v="Match"/>
    <s v="Match"/>
  </r>
  <r>
    <s v="ORD-2024-10121"/>
    <d v="2024-08-10T00:00:00"/>
    <d v="2024-08-18T00:00:00"/>
    <n v="8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1"/>
    <s v="Unique"/>
    <n v="0.2"/>
    <n v="1458.9360000000001"/>
    <n v="565.7360000000001"/>
    <n v="0.38777300717783375"/>
    <x v="1"/>
    <x v="0"/>
    <s v="Clean"/>
    <s v="Match"/>
    <s v="Match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1"/>
    <s v="Unique"/>
    <n v="0"/>
    <n v="17414.599999999999"/>
    <n v="5653.6899999999987"/>
    <n v="0.3246523032398102"/>
    <x v="1"/>
    <x v="1"/>
    <s v="Clean"/>
    <s v="Match"/>
    <s v="Match"/>
  </r>
  <r>
    <s v="ORD-2024-10123"/>
    <d v="2024-11-30T00:00:00"/>
    <d v="2024-12-04T00:00:00"/>
    <n v="4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1"/>
    <s v="Unique"/>
    <n v="0"/>
    <n v="511.04999999999995"/>
    <n v="143.86999999999995"/>
    <n v="0.28151844242246349"/>
    <x v="3"/>
    <x v="0"/>
    <s v="Clean"/>
    <s v="Match"/>
    <s v="Match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2"/>
    <s v="Review Required"/>
    <n v="0"/>
    <n v="634.13"/>
    <n v="180.77999999999997"/>
    <n v="0.28508350022865969"/>
    <x v="4"/>
    <x v="0"/>
    <s v="Warning"/>
    <s v="Match"/>
    <s v="Match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1"/>
    <s v="Unique"/>
    <n v="-0.15"/>
    <n v="4813.3709999999992"/>
    <n v="1369.6309999999994"/>
    <n v="0.28454715001191466"/>
    <x v="0"/>
    <x v="0"/>
    <s v="Invalid"/>
    <s v="Mismatch"/>
    <s v="Mismatch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n v="1"/>
    <s v="Unique"/>
    <n v="0.25"/>
    <n v="14558.715"/>
    <n v="4967.2350000000006"/>
    <n v="0.34118636157105903"/>
    <x v="0"/>
    <x v="1"/>
    <s v="Clean"/>
    <s v="Match"/>
    <s v="Match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1"/>
    <s v="Unique"/>
    <n v="0.1"/>
    <n v="4303.4220000000005"/>
    <n v="1734.8520000000003"/>
    <n v="0.40313313451481175"/>
    <x v="7"/>
    <x v="1"/>
    <s v="Clean"/>
    <s v="Match"/>
    <s v="Match"/>
  </r>
  <r>
    <s v="ORD-2025-10128"/>
    <d v="2025-01-30T00:00:00"/>
    <d v="2025-01-26T00:00:00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n v="1"/>
    <s v="Unique"/>
    <n v="0.05"/>
    <n v="5774.67"/>
    <n v="2256.31"/>
    <n v="0.39072535746631409"/>
    <x v="10"/>
    <x v="1"/>
    <s v="Invalid"/>
    <s v="Match"/>
    <s v="Match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1"/>
    <s v="Unique"/>
    <n v="0.05"/>
    <n v="4386.3874999999998"/>
    <n v="1019.5074999999997"/>
    <n v="0.2324253158208206"/>
    <x v="8"/>
    <x v="0"/>
    <s v="Clean"/>
    <s v="Match"/>
    <s v="Match"/>
  </r>
  <r>
    <s v="ORD-2024-10130"/>
    <d v="2024-07-19T00:00:00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n v="1"/>
    <s v="Unique"/>
    <n v="0.05"/>
    <n v="18229.5785"/>
    <n v="3090.4285"/>
    <n v="0.16952824773211295"/>
    <x v="0"/>
    <x v="0"/>
    <s v="Clean"/>
    <s v="Match"/>
    <s v="Match"/>
  </r>
  <r>
    <s v="ORD-2024-10131"/>
    <d v="2024-01-27T00:00:00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1"/>
    <s v="Unique"/>
    <n v="0.2"/>
    <n v="873.68"/>
    <n v="211.95999999999992"/>
    <n v="0.24260598846259493"/>
    <x v="10"/>
    <x v="0"/>
    <s v="Clean"/>
    <s v="Match"/>
    <s v="Match"/>
  </r>
  <r>
    <s v="ORD-2025-10132"/>
    <d v="2025-09-29T00:00:00"/>
    <d v="2025-10-04T00:00:00"/>
    <n v="5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1"/>
    <s v="Unique"/>
    <n v="0.2"/>
    <n v="2692.152"/>
    <n v="647.66200000000003"/>
    <n v="0.24057408348414205"/>
    <x v="7"/>
    <x v="1"/>
    <s v="Clean"/>
    <s v="Match"/>
    <s v="Match"/>
  </r>
  <r>
    <s v="ORD-2024-10133"/>
    <d v="2024-11-04T00:00:00"/>
    <d v="2024-11-04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1"/>
    <s v="Unique"/>
    <n v="0"/>
    <n v="1066.1600000000001"/>
    <n v="409.86000000000013"/>
    <n v="0.38442635251744589"/>
    <x v="3"/>
    <x v="0"/>
    <s v="Clean"/>
    <s v="Match"/>
    <s v="Match"/>
  </r>
  <r>
    <s v="ORD-2024-10134"/>
    <d v="2024-12-13T00:00:0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1"/>
    <s v="Unique"/>
    <n v="0.15"/>
    <n v="22930.62"/>
    <n v="6055.07"/>
    <n v="0.26406045715292475"/>
    <x v="8"/>
    <x v="0"/>
    <s v="Clean"/>
    <s v="Match"/>
    <s v="Match"/>
  </r>
  <r>
    <s v="ORD-2025-10135"/>
    <d v="2025-07-14T00:00:00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1"/>
    <s v="Unique"/>
    <n v="0.25"/>
    <n v="1436.625"/>
    <n v="524.10500000000002"/>
    <n v="0.36481684503610895"/>
    <x v="0"/>
    <x v="1"/>
    <s v="Clean"/>
    <s v="Match"/>
    <s v="Match"/>
  </r>
  <r>
    <s v="ORD-2025-10136"/>
    <d v="2025-08-24T00:00:00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1"/>
    <s v="Unique"/>
    <n v="0"/>
    <n v="3424.78"/>
    <n v="1473.3300000000002"/>
    <n v="0.43019697615613267"/>
    <x v="1"/>
    <x v="1"/>
    <s v="Clean"/>
    <s v="Match"/>
    <s v="Match"/>
  </r>
  <r>
    <s v="ORD-2025-10137"/>
    <d v="2025-02-09T00:00:00"/>
    <d v="2025-02-15T00:00:00"/>
    <n v="6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n v="1"/>
    <s v="Unique"/>
    <n v="0.2"/>
    <n v="31178.376000000004"/>
    <n v="9757.2860000000037"/>
    <n v="0.31295042435821552"/>
    <x v="6"/>
    <x v="1"/>
    <s v="Clean"/>
    <s v="Match"/>
    <s v="Match"/>
  </r>
  <r>
    <s v="ORD-2025-10138"/>
    <d v="2025-01-09T00:00:00"/>
    <d v="2025-01-09T00:00:00"/>
    <n v="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1"/>
    <s v="Unique"/>
    <n v="0.1"/>
    <n v="19202.904000000002"/>
    <n v="3676.2840000000015"/>
    <n v="0.19144416906942829"/>
    <x v="10"/>
    <x v="1"/>
    <s v="Clean"/>
    <s v="Match"/>
    <s v="Match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1"/>
    <s v="Unique"/>
    <n v="0.25"/>
    <n v="24018.300000000003"/>
    <n v="9947.5200000000023"/>
    <n v="0.41416419979765434"/>
    <x v="10"/>
    <x v="0"/>
    <s v="Clean"/>
    <s v="Match"/>
    <s v="Match"/>
  </r>
  <r>
    <s v="ORD-2025-10140"/>
    <d v="2025-03-02T00:00:00"/>
    <d v="2025-03-07T00:00:00"/>
    <n v="5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1"/>
    <s v="Unique"/>
    <n v="0"/>
    <n v="10301.040000000001"/>
    <n v="3736.9800000000005"/>
    <n v="0.3627769623261341"/>
    <x v="11"/>
    <x v="1"/>
    <s v="Clean"/>
    <s v="Match"/>
    <s v="Match"/>
  </r>
  <r>
    <s v="ORD-2024-10141"/>
    <d v="2024-05-31T00:00:00"/>
    <d v="2024-06-01T00:00:00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n v="1"/>
    <s v="Unique"/>
    <n v="0"/>
    <n v="8743.6500000000015"/>
    <n v="2139.8900000000012"/>
    <n v="0.24473646589239059"/>
    <x v="4"/>
    <x v="0"/>
    <s v="Clean"/>
    <s v="Match"/>
    <s v="Match"/>
  </r>
  <r>
    <s v="ORD-2024-10142"/>
    <d v="2024-03-23T00:00:00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1"/>
    <s v="Unique"/>
    <n v="0.1"/>
    <n v="3996.027"/>
    <n v="1136.5169999999998"/>
    <n v="0.28441174196270441"/>
    <x v="11"/>
    <x v="0"/>
    <s v="Clean"/>
    <s v="Match"/>
    <s v="Match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2"/>
    <s v="Review Required"/>
    <n v="0.15"/>
    <n v="3857.0449999999996"/>
    <n v="1087.7849999999994"/>
    <n v="0.28202548842442843"/>
    <x v="11"/>
    <x v="0"/>
    <s v="Invalid"/>
    <s v="Match"/>
    <s v="Match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1"/>
    <s v="Unique"/>
    <n v="0.1"/>
    <n v="3068.55"/>
    <n v="1152.3900000000001"/>
    <n v="0.3755487119323459"/>
    <x v="11"/>
    <x v="0"/>
    <s v="Clean"/>
    <s v="Match"/>
    <s v="Match"/>
  </r>
  <r>
    <s v="ORD-2024-10145"/>
    <d v="2024-06-07T00:00:00"/>
    <d v="2024-06-15T00:00:00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1"/>
    <s v="Unique"/>
    <n v="0.25"/>
    <n v="11276.947499999998"/>
    <n v="4368.1874999999982"/>
    <n v="0.38735548782150481"/>
    <x v="2"/>
    <x v="0"/>
    <s v="Clean"/>
    <s v="Match"/>
    <s v="Match"/>
  </r>
  <r>
    <s v="ORD-2025-10146"/>
    <d v="2025-04-11T00:00:00"/>
    <d v="2025-04-13T00:00:00"/>
    <n v="2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1"/>
    <s v="Unique"/>
    <n v="0.1"/>
    <n v="15055.74"/>
    <n v="5246.91"/>
    <n v="0.34849897779850075"/>
    <x v="5"/>
    <x v="1"/>
    <s v="Clean"/>
    <s v="Match"/>
    <s v="Match"/>
  </r>
  <r>
    <s v="ORD-2025-10147"/>
    <d v="2025-07-30T00:00:00"/>
    <d v="2025-08-01T00:00:00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1"/>
    <s v="Unique"/>
    <n v="0.1"/>
    <n v="25639.983"/>
    <n v="4004.9029999999984"/>
    <n v="0.1561975684617263"/>
    <x v="0"/>
    <x v="1"/>
    <s v="Clean"/>
    <s v="Match"/>
    <s v="Match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1"/>
    <s v="Unique"/>
    <n v="0.1"/>
    <n v="2779.92"/>
    <n v="1035.8700000000001"/>
    <n v="0.37262583095916435"/>
    <x v="8"/>
    <x v="0"/>
    <s v="Clean"/>
    <s v="Match"/>
    <s v="Match"/>
  </r>
  <r>
    <s v="ORD-2025-10149"/>
    <d v="2025-02-09T00:00:00"/>
    <d v="2025-02-13T00:00:00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n v="1"/>
    <s v="Unique"/>
    <n v="0.25"/>
    <n v="10176.42"/>
    <n v="2571.9499999999998"/>
    <n v="0.252736227474888"/>
    <x v="6"/>
    <x v="1"/>
    <s v="Clean"/>
    <s v="Match"/>
    <s v="Match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1"/>
    <s v="Unique"/>
    <n v="0.25"/>
    <n v="13269.952499999999"/>
    <n v="4292.8524999999991"/>
    <n v="0.32350172315989822"/>
    <x v="10"/>
    <x v="0"/>
    <s v="Clean"/>
    <s v="Match"/>
    <s v="Match"/>
  </r>
  <r>
    <s v="ORD-2024-10151"/>
    <d v="2024-03-04T00:00:00"/>
    <d v="2024-03-12T00:00:00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1"/>
    <s v="Unique"/>
    <n v="0.1"/>
    <n v="1398.7079999999999"/>
    <n v="341.78799999999978"/>
    <n v="0.24435979489643286"/>
    <x v="11"/>
    <x v="0"/>
    <s v="Clean"/>
    <s v="Match"/>
    <s v="Match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1"/>
    <s v="Unique"/>
    <n v="0"/>
    <n v="7718.22"/>
    <n v="2362.29"/>
    <n v="0.30606668376905555"/>
    <x v="2"/>
    <x v="0"/>
    <s v="Clean"/>
    <s v="Match"/>
    <s v="Match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1"/>
    <s v="Unique"/>
    <n v="0.1"/>
    <n v="5875.4160000000002"/>
    <n v="1494.866"/>
    <n v="0.25442726098032886"/>
    <x v="2"/>
    <x v="0"/>
    <s v="Clean"/>
    <s v="Match"/>
    <s v="Match"/>
  </r>
  <r>
    <s v="ORD-2025-10154"/>
    <d v="2025-09-23T00:00:00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1"/>
    <s v="Unique"/>
    <n v="0"/>
    <n v="22962.17"/>
    <n v="7245.6699999999983"/>
    <n v="0.31554813852523517"/>
    <x v="7"/>
    <x v="1"/>
    <s v="Clean"/>
    <s v="Match"/>
    <s v="Match"/>
  </r>
  <r>
    <s v="ORD-2024-10155"/>
    <d v="2024-02-12T00:00:00"/>
    <d v="2024-02-11T00:00:00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1"/>
    <s v="Unique"/>
    <n v="0.15"/>
    <n v="2209.252"/>
    <n v="685.47199999999998"/>
    <n v="0.31027334138432372"/>
    <x v="6"/>
    <x v="0"/>
    <s v="Invalid"/>
    <s v="Match"/>
    <s v="Match"/>
  </r>
  <r>
    <s v="ORD-2025-10156"/>
    <d v="2025-01-26T00:00:00"/>
    <d v="2025-02-03T00:00:00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1"/>
    <s v="Unique"/>
    <n v="0.1"/>
    <n v="7720.1640000000007"/>
    <n v="1839.1640000000007"/>
    <n v="0.23822861794127695"/>
    <x v="10"/>
    <x v="1"/>
    <s v="Clean"/>
    <s v="Match"/>
    <s v="Match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1"/>
    <s v="Unique"/>
    <n v="0.25"/>
    <n v="12103.192500000001"/>
    <n v="5385.3225000000011"/>
    <n v="0.44495057812225997"/>
    <x v="11"/>
    <x v="1"/>
    <s v="Clean"/>
    <s v="Match"/>
    <s v="Match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n v="1"/>
    <s v="Unique"/>
    <n v="0.15"/>
    <n v="2335.3919999999998"/>
    <n v="869.24199999999973"/>
    <n v="0.3722038955344541"/>
    <x v="9"/>
    <x v="0"/>
    <s v="Clean"/>
    <s v="Match"/>
    <s v="Match"/>
  </r>
  <r>
    <s v="ORD-2024-10159"/>
    <d v="2024-09-09T00:00:00"/>
    <d v="2024-09-11T00:00:00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1"/>
    <s v="Unique"/>
    <n v="0.05"/>
    <n v="3989.5629999999996"/>
    <n v="1608.1829999999995"/>
    <n v="0.40309753223598666"/>
    <x v="7"/>
    <x v="0"/>
    <s v="Clean"/>
    <s v="Match"/>
    <s v="Match"/>
  </r>
  <r>
    <s v="ORD-2025-10160"/>
    <d v="2025-01-30T00:00:00"/>
    <d v="2025-02-04T00:00:00"/>
    <n v="5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1"/>
    <s v="Unique"/>
    <n v="0.15"/>
    <n v="33893.324999999997"/>
    <n v="8142.9749999999985"/>
    <n v="0.24025305867748292"/>
    <x v="10"/>
    <x v="1"/>
    <s v="Clean"/>
    <s v="Match"/>
    <s v="Match"/>
  </r>
  <r>
    <s v="ORD-2025-10161"/>
    <d v="2025-10-08T00:00:00"/>
    <d v="2025-10-06T00:00:00"/>
    <n v="-2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1"/>
    <s v="Unique"/>
    <n v="0.05"/>
    <n v="4789.5960000000005"/>
    <n v="751.95600000000059"/>
    <n v="0.1569977927157114"/>
    <x v="9"/>
    <x v="1"/>
    <s v="Invalid"/>
    <s v="Match"/>
    <s v="Match"/>
  </r>
  <r>
    <s v="ORD-2025-10162"/>
    <d v="2025-07-24T00:00:00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n v="1"/>
    <s v="Unique"/>
    <n v="0"/>
    <n v="1643.41"/>
    <n v="736.0100000000001"/>
    <n v="0.44785537388722235"/>
    <x v="0"/>
    <x v="1"/>
    <s v="Clean"/>
    <s v="Match"/>
    <s v="Match"/>
  </r>
  <r>
    <s v="ORD-2024-10163"/>
    <d v="2024-03-09T00:00:0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1"/>
    <s v="Unique"/>
    <n v="0"/>
    <n v="35782.720000000001"/>
    <n v="9358.3100000000013"/>
    <n v="0.2615315437171909"/>
    <x v="11"/>
    <x v="0"/>
    <s v="Clean"/>
    <s v="Mismatch"/>
    <s v="Match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1"/>
    <s v="Unique"/>
    <n v="0.1"/>
    <n v="15679.332"/>
    <n v="3201.5120000000006"/>
    <n v="0.20418675999717339"/>
    <x v="7"/>
    <x v="1"/>
    <s v="Clean"/>
    <s v="Match"/>
    <s v="Match"/>
  </r>
  <r>
    <s v="ORD-2025-10165"/>
    <d v="2025-09-09T00:00:00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1"/>
    <s v="Unique"/>
    <n v="0.25"/>
    <n v="2365.8150000000001"/>
    <n v="817.82500000000005"/>
    <n v="0.34568425679945392"/>
    <x v="7"/>
    <x v="1"/>
    <s v="Clean"/>
    <s v="Match"/>
    <s v="Match"/>
  </r>
  <r>
    <s v="ORD-2024-10166"/>
    <d v="2024-11-22T00:00:00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n v="1"/>
    <s v="Unique"/>
    <n v="0.25"/>
    <n v="10268.969999999999"/>
    <n v="3798.0499999999993"/>
    <n v="0.36985695741637181"/>
    <x v="3"/>
    <x v="0"/>
    <s v="Clean"/>
    <s v="Match"/>
    <s v="Match"/>
  </r>
  <r>
    <s v="ORD-2025-10167"/>
    <d v="2025-02-20T00:00:00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n v="1"/>
    <s v="Unique"/>
    <n v="0.2"/>
    <n v="2046.28"/>
    <n v="596.74"/>
    <n v="0.29162186992982386"/>
    <x v="6"/>
    <x v="1"/>
    <s v="Clean"/>
    <s v="Match"/>
    <s v="Match"/>
  </r>
  <r>
    <s v="ORD-2025-10168"/>
    <d v="2025-08-18T00:00:00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1"/>
    <s v="Unique"/>
    <n v="0.15"/>
    <n v="23186.6145"/>
    <n v="5280.0744999999988"/>
    <n v="0.22772080417345961"/>
    <x v="1"/>
    <x v="1"/>
    <s v="Clean"/>
    <s v="Match"/>
    <s v="Match"/>
  </r>
  <r>
    <s v="ORD-2025-10169"/>
    <d v="2025-01-20T00:00:00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1"/>
    <s v="Unique"/>
    <n v="0.2"/>
    <n v="2557.08"/>
    <n v="531.38999999999987"/>
    <n v="0.2078112534609789"/>
    <x v="10"/>
    <x v="1"/>
    <s v="Clean"/>
    <s v="Match"/>
    <s v="Match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1"/>
    <s v="Unique"/>
    <n v="0.05"/>
    <n v="5577.6399999999994"/>
    <n v="2036.3499999999995"/>
    <n v="0.36509168752375548"/>
    <x v="7"/>
    <x v="1"/>
    <s v="Clean"/>
    <s v="Match"/>
    <s v="Match"/>
  </r>
  <r>
    <s v="ORD-2025-10171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2"/>
    <s v="Review Required"/>
    <n v="0"/>
    <n v="5133.96"/>
    <n v="1203.96"/>
    <n v="0.23450903396208775"/>
    <x v="7"/>
    <x v="1"/>
    <s v="Warning"/>
    <s v="Match"/>
    <s v="Match"/>
  </r>
  <r>
    <s v="ORD-2025-10172"/>
    <d v="2025-02-23T00:00:00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1"/>
    <s v="Unique"/>
    <n v="0.25"/>
    <n v="15923.512500000001"/>
    <n v="4631.7125000000015"/>
    <n v="0.29087253832971849"/>
    <x v="6"/>
    <x v="1"/>
    <s v="Clean"/>
    <s v="Match"/>
    <s v="Match"/>
  </r>
  <r>
    <s v="ORD-2025-10173"/>
    <d v="2025-08-02T00:00:00"/>
    <d v="2025-08-10T00:00:0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1"/>
    <s v="Unique"/>
    <n v="0.1"/>
    <n v="23997.221999999998"/>
    <n v="7862.5919999999987"/>
    <n v="0.32764592501582057"/>
    <x v="1"/>
    <x v="1"/>
    <s v="Clean"/>
    <s v="Match"/>
    <s v="Match"/>
  </r>
  <r>
    <s v="ORD-2024-10174"/>
    <d v="2024-05-02T00:00:00"/>
    <d v="2024-05-08T00:00:00"/>
    <n v="6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1"/>
    <s v="Unique"/>
    <n v="0.25"/>
    <n v="1734.1875"/>
    <n v="348.11750000000006"/>
    <n v="0.20073809781237614"/>
    <x v="4"/>
    <x v="0"/>
    <s v="Clean"/>
    <s v="Match"/>
    <s v="Match"/>
  </r>
  <r>
    <s v="ORD-2025-10175"/>
    <d v="2025-09-28T00:00:00"/>
    <d v="2025-10-04T00:00:00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1"/>
    <s v="Unique"/>
    <n v="0.15"/>
    <n v="8264.7029999999995"/>
    <n v="3495.9529999999995"/>
    <n v="0.42299801940856191"/>
    <x v="7"/>
    <x v="1"/>
    <s v="Clean"/>
    <s v="Match"/>
    <s v="Match"/>
  </r>
  <r>
    <s v="ORD-2024-10176"/>
    <d v="2024-01-27T00:00:00"/>
    <d v="2024-02-03T00:00:00"/>
    <n v="7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1"/>
    <s v="Unique"/>
    <n v="0.15"/>
    <n v="15906.849000000002"/>
    <n v="4892.3890000000029"/>
    <n v="0.30756493633654297"/>
    <x v="10"/>
    <x v="0"/>
    <s v="Clean"/>
    <s v="Match"/>
    <s v="Match"/>
  </r>
  <r>
    <s v="ORD-2025-10177"/>
    <d v="2025-03-18T00:00:00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n v="1"/>
    <s v="Unique"/>
    <n v="0.15"/>
    <n v="24229.011999999999"/>
    <n v="10318.371999999999"/>
    <n v="0.42586845885420338"/>
    <x v="11"/>
    <x v="1"/>
    <s v="Clean"/>
    <s v="Match"/>
    <s v="Match"/>
  </r>
  <r>
    <s v="ORD-2024-10178"/>
    <d v="2024-06-01T00:00:00"/>
    <d v="2024-06-03T00:00:00"/>
    <n v="2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1"/>
    <s v="Unique"/>
    <n v="0"/>
    <n v="31039.599999999999"/>
    <n v="10172.879999999997"/>
    <n v="0.32773875952009685"/>
    <x v="2"/>
    <x v="0"/>
    <s v="Clean"/>
    <s v="Match"/>
    <s v="Match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1"/>
    <s v="Unique"/>
    <n v="0"/>
    <n v="13126.96"/>
    <n v="2394.5199999999986"/>
    <n v="0.18241237879905162"/>
    <x v="7"/>
    <x v="0"/>
    <s v="Clean"/>
    <s v="Match"/>
    <s v="Match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1"/>
    <s v="Unique"/>
    <n v="0.25"/>
    <n v="9558.9000000000015"/>
    <n v="4042.1400000000012"/>
    <n v="0.42286664783604816"/>
    <x v="11"/>
    <x v="0"/>
    <s v="Clean"/>
    <s v="Match"/>
    <s v="Match"/>
  </r>
  <r>
    <s v="ORD-2024-10181"/>
    <d v="2024-08-26T00:00:00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n v="1"/>
    <s v="Unique"/>
    <n v="0.1"/>
    <n v="5320.9170000000004"/>
    <n v="2279.4170000000004"/>
    <n v="0.42838800154183954"/>
    <x v="1"/>
    <x v="0"/>
    <s v="Clean"/>
    <s v="Match"/>
    <s v="Match"/>
  </r>
  <r>
    <s v="ORD-2025-10182"/>
    <d v="2025-09-09T00:00:00"/>
    <d v="2025-09-10T00:00:0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1"/>
    <s v="Unique"/>
    <n v="0"/>
    <n v="10205.799999999999"/>
    <n v="4219.4899999999989"/>
    <n v="0.41344039663720622"/>
    <x v="7"/>
    <x v="1"/>
    <s v="Clean"/>
    <s v="Match"/>
    <s v="Match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1"/>
    <s v="Unique"/>
    <n v="0"/>
    <n v="5430.3899999999994"/>
    <n v="1722.7299999999996"/>
    <n v="0.31723872502711586"/>
    <x v="9"/>
    <x v="0"/>
    <s v="Clean"/>
    <s v="Match"/>
    <s v="Match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n v="1"/>
    <s v="Unique"/>
    <n v="0.2"/>
    <n v="12907.216"/>
    <n v="4579.3260000000009"/>
    <n v="0.3547880503433119"/>
    <x v="2"/>
    <x v="1"/>
    <s v="Clean"/>
    <s v="Match"/>
    <s v="Match"/>
  </r>
  <r>
    <s v="ORD-2024-10185"/>
    <d v="2024-04-02T00:00:00"/>
    <d v="2024-04-06T00:00:00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1"/>
    <s v="Unique"/>
    <n v="0"/>
    <n v="1777.96"/>
    <n v="756.80000000000007"/>
    <n v="0.42565637022205227"/>
    <x v="5"/>
    <x v="0"/>
    <s v="Clean"/>
    <s v="Match"/>
    <s v="Match"/>
  </r>
  <r>
    <s v="ORD-2024-10186"/>
    <d v="2024-11-05T00:00:00"/>
    <d v="2024-11-13T00:00:00"/>
    <n v="8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1"/>
    <s v="Unique"/>
    <n v="0.2"/>
    <n v="1605.0720000000001"/>
    <n v="267.79200000000014"/>
    <n v="0.16684111366966722"/>
    <x v="3"/>
    <x v="0"/>
    <s v="Clean"/>
    <s v="Match"/>
    <s v="Match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1"/>
    <s v="Unique"/>
    <n v="0.05"/>
    <n v="23996.059499999996"/>
    <n v="3828.7794999999969"/>
    <n v="0.15955867670689838"/>
    <x v="0"/>
    <x v="0"/>
    <s v="Clean"/>
    <s v="Match"/>
    <s v="Match"/>
  </r>
  <r>
    <s v="ORD-2025-10188"/>
    <d v="2025-05-01T00:00:00"/>
    <d v="2025-05-02T00:00:00"/>
    <n v="1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1"/>
    <s v="Unique"/>
    <n v="0"/>
    <n v="8717.2199999999993"/>
    <n v="2501.2599999999993"/>
    <n v="0.28693321953558582"/>
    <x v="4"/>
    <x v="1"/>
    <s v="Clean"/>
    <s v="Match"/>
    <s v="Match"/>
  </r>
  <r>
    <s v="ORD-2025-10189"/>
    <d v="2025-05-21T00:00:00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1"/>
    <s v="Unique"/>
    <n v="0.1"/>
    <n v="6407.2260000000006"/>
    <n v="1484.1360000000004"/>
    <n v="0.23163471992403581"/>
    <x v="4"/>
    <x v="1"/>
    <s v="Clean"/>
    <s v="Mismatch"/>
    <s v="Match"/>
  </r>
  <r>
    <s v="ORD-2025-10190"/>
    <d v="2025-05-06T00:00:00"/>
    <d v="2025-05-07T00:00:00"/>
    <n v="1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n v="1"/>
    <s v="Unique"/>
    <n v="0"/>
    <n v="29864.159999999996"/>
    <n v="12991.769999999997"/>
    <n v="0.43502881045373448"/>
    <x v="4"/>
    <x v="1"/>
    <s v="Clean"/>
    <s v="Mismatch"/>
    <s v="Mismatch"/>
  </r>
  <r>
    <s v="ORD-2025-10191"/>
    <d v="2025-04-20T00:00:00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n v="1"/>
    <s v="Unique"/>
    <n v="0.1"/>
    <n v="1458.2429999999999"/>
    <n v="514.92299999999989"/>
    <n v="0.35311192990468659"/>
    <x v="5"/>
    <x v="1"/>
    <s v="Clean"/>
    <s v="Match"/>
    <s v="Match"/>
  </r>
  <r>
    <s v="ORD-2024-10192"/>
    <d v="2024-10-19T00:00:00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n v="1"/>
    <s v="Unique"/>
    <n v="0.65"/>
    <n v="9047.64"/>
    <n v="-10350.040000000001"/>
    <n v="-1.1439491403283069"/>
    <x v="9"/>
    <x v="0"/>
    <s v="Clean"/>
    <s v="Mismatch"/>
    <s v="Mismatch"/>
  </r>
  <r>
    <s v="ORD-2024-10193"/>
    <d v="2024-12-09T00:00:00"/>
    <d v="2024-12-16T00:00:00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1"/>
    <s v="Unique"/>
    <n v="0"/>
    <n v="8764.1200000000008"/>
    <n v="1544.0700000000006"/>
    <n v="0.17618083732308554"/>
    <x v="8"/>
    <x v="0"/>
    <s v="Clean"/>
    <s v="Match"/>
    <s v="Match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n v="1"/>
    <s v="Unique"/>
    <n v="0.2"/>
    <n v="9391.8240000000005"/>
    <n v="3378.6040000000003"/>
    <n v="0.35973885370935399"/>
    <x v="2"/>
    <x v="0"/>
    <s v="Clean"/>
    <s v="Match"/>
    <s v="Match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1"/>
    <s v="Unique"/>
    <n v="0.05"/>
    <n v="7339.2344999999996"/>
    <n v="1905.1144999999997"/>
    <n v="0.25957945614082772"/>
    <x v="10"/>
    <x v="1"/>
    <s v="Clean"/>
    <s v="Match"/>
    <s v="Match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1"/>
    <s v="Unique"/>
    <n v="0"/>
    <n v="9614.15"/>
    <n v="2037.3099999999995"/>
    <n v="0.21190744891644084"/>
    <x v="0"/>
    <x v="1"/>
    <s v="Clean"/>
    <s v="Match"/>
    <s v="Match"/>
  </r>
  <r>
    <s v="ORD-2024-10197"/>
    <d v="2024-01-22T00:00:00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n v="1"/>
    <s v="Unique"/>
    <n v="0.1"/>
    <n v="3272.4810000000002"/>
    <n v="755.04100000000017"/>
    <n v="0.23072433422837293"/>
    <x v="10"/>
    <x v="0"/>
    <s v="Clean"/>
    <s v="Match"/>
    <s v="Match"/>
  </r>
  <r>
    <s v="ORD-2025-10198"/>
    <d v="2025-03-31T00:00:00"/>
    <d v="2025-04-07T00:00:00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1"/>
    <s v="Unique"/>
    <n v="0.15"/>
    <n v="17409.869999999995"/>
    <n v="3333.6199999999953"/>
    <n v="0.19147874165631312"/>
    <x v="11"/>
    <x v="1"/>
    <s v="Clean"/>
    <s v="Match"/>
    <s v="Match"/>
  </r>
  <r>
    <s v="ORD-2024-10199"/>
    <d v="2024-06-05T00:00:00"/>
    <d v="2024-06-06T00:00:00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1"/>
    <s v="Unique"/>
    <n v="0.05"/>
    <n v="1125.3509999999999"/>
    <n v="448.38099999999986"/>
    <n v="0.39843657667696558"/>
    <x v="2"/>
    <x v="0"/>
    <s v="Clean"/>
    <s v="Match"/>
    <s v="Match"/>
  </r>
  <r>
    <s v="ORD-2024-10200"/>
    <d v="2024-03-12T00:00:00"/>
    <d v="2024-03-12T00:00:00"/>
    <n v="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1"/>
    <s v="Unique"/>
    <n v="0.25"/>
    <n v="9835.11"/>
    <n v="4397.47"/>
    <n v="0.44711955433136996"/>
    <x v="11"/>
    <x v="0"/>
    <s v="Clean"/>
    <s v="Match"/>
    <s v="Match"/>
  </r>
  <r>
    <s v="ORD-2025-10201"/>
    <d v="2025-06-27T00:00:00"/>
    <d v="2025-07-05T00:00:00"/>
    <n v="8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n v="1"/>
    <s v="Unique"/>
    <n v="0.1"/>
    <n v="12907.980000000001"/>
    <n v="3710.9000000000015"/>
    <n v="0.28748882474252369"/>
    <x v="2"/>
    <x v="1"/>
    <s v="Clean"/>
    <s v="Match"/>
    <s v="Match"/>
  </r>
  <r>
    <s v="ORD-2025-10202"/>
    <d v="2025-07-26T00:00:00"/>
    <d v="2025-08-03T00:00:00"/>
    <n v="8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n v="1"/>
    <s v="Unique"/>
    <n v="-0.16"/>
    <n v="5808.1895999999997"/>
    <n v="2853.3295999999996"/>
    <n v="0.49125972058487893"/>
    <x v="0"/>
    <x v="1"/>
    <s v="Invalid"/>
    <s v="Mismatch"/>
    <s v="Mismatch"/>
  </r>
  <r>
    <s v="ORD-2025-10203"/>
    <d v="2025-03-28T00:00:00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1"/>
    <s v="Unique"/>
    <n v="0.05"/>
    <n v="13231.144"/>
    <n v="1941.0840000000007"/>
    <n v="0.14670568168557463"/>
    <x v="11"/>
    <x v="1"/>
    <s v="Clean"/>
    <s v="Match"/>
    <s v="Match"/>
  </r>
  <r>
    <s v="ORD-2024-10204"/>
    <d v="2024-03-28T00:00:00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1"/>
    <s v="Unique"/>
    <n v="0.15"/>
    <n v="484.78899999999999"/>
    <n v="151.24899999999997"/>
    <n v="0.3119893396921134"/>
    <x v="11"/>
    <x v="0"/>
    <s v="Clean"/>
    <s v="Match"/>
    <s v="Match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1"/>
    <s v="Unique"/>
    <n v="0.15"/>
    <n v="1624.146"/>
    <n v="406.15599999999995"/>
    <n v="0.25007357712914968"/>
    <x v="0"/>
    <x v="1"/>
    <s v="Clean"/>
    <s v="Match"/>
    <s v="Match"/>
  </r>
  <r>
    <s v="ORD-2025-10206"/>
    <d v="2025-04-21T00:00:00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n v="1"/>
    <s v="Unique"/>
    <n v="0.2"/>
    <n v="4193.232"/>
    <n v="863.24200000000019"/>
    <n v="0.2058655471483572"/>
    <x v="5"/>
    <x v="1"/>
    <s v="Clean"/>
    <s v="Match"/>
    <s v="Match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1"/>
    <s v="Unique"/>
    <n v="0"/>
    <n v="430.26"/>
    <n v="143.88"/>
    <n v="0.33440245432994004"/>
    <x v="4"/>
    <x v="1"/>
    <s v="Clean"/>
    <s v="Match"/>
    <s v="Match"/>
  </r>
  <r>
    <s v="ORD-2024-10208"/>
    <d v="2024-07-10T00:00:00"/>
    <d v="2024-07-16T00:00:00"/>
    <n v="6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1"/>
    <s v="Unique"/>
    <n v="0.2"/>
    <n v="1752.7200000000003"/>
    <n v="756.31000000000029"/>
    <n v="0.43150645853302305"/>
    <x v="0"/>
    <x v="0"/>
    <s v="Clean"/>
    <s v="Match"/>
    <s v="Match"/>
  </r>
  <r>
    <s v="ORD-2025-10209"/>
    <d v="2025-06-29T00:00:00"/>
    <d v="2025-07-05T00:00:00"/>
    <n v="6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1"/>
    <s v="Unique"/>
    <n v="0"/>
    <n v="999.83"/>
    <n v="364.92000000000007"/>
    <n v="0.3649820469479812"/>
    <x v="2"/>
    <x v="1"/>
    <s v="Clean"/>
    <s v="Match"/>
    <s v="Match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1"/>
    <s v="Unique"/>
    <n v="0.1"/>
    <n v="7006.3379999999997"/>
    <n v="2365.4579999999996"/>
    <n v="0.33761688345609359"/>
    <x v="1"/>
    <x v="1"/>
    <s v="Clean"/>
    <s v="Match"/>
    <s v="Match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n v="1"/>
    <s v="Unique"/>
    <n v="0"/>
    <n v="4131.3599999999997"/>
    <n v="1194.2899999999995"/>
    <n v="0.28907914100925591"/>
    <x v="11"/>
    <x v="0"/>
    <s v="Clean"/>
    <s v="Match"/>
    <s v="Match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1"/>
    <s v="Unique"/>
    <n v="0.2"/>
    <n v="27020.48"/>
    <n v="4135.239999999998"/>
    <n v="0.15304095264036752"/>
    <x v="4"/>
    <x v="0"/>
    <s v="Clean"/>
    <s v="Match"/>
    <s v="Match"/>
  </r>
  <r>
    <s v="ORD-2024-10213"/>
    <d v="2024-09-21T00:00:00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1"/>
    <s v="Unique"/>
    <n v="0.15"/>
    <n v="364.65"/>
    <n v="83.909999999999968"/>
    <n v="0.23011106540518297"/>
    <x v="7"/>
    <x v="0"/>
    <s v="Clean"/>
    <s v="Match"/>
    <s v="Match"/>
  </r>
  <r>
    <s v="ORD-2024-10214"/>
    <d v="2024-05-15T00:00:00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n v="1"/>
    <s v="Unique"/>
    <n v="0.2"/>
    <n v="13864.735999999999"/>
    <n v="2570.6759999999995"/>
    <n v="0.18541110339208763"/>
    <x v="4"/>
    <x v="0"/>
    <s v="Clean"/>
    <s v="Match"/>
    <s v="Match"/>
  </r>
  <r>
    <s v="ORD-2024-10215"/>
    <d v="2024-03-17T00:00:00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n v="1"/>
    <s v="Unique"/>
    <n v="0.05"/>
    <n v="707.31299999999999"/>
    <n v="138.31299999999999"/>
    <n v="0.19554709159876885"/>
    <x v="11"/>
    <x v="0"/>
    <s v="Clean"/>
    <s v="Match"/>
    <s v="Match"/>
  </r>
  <r>
    <s v="ORD-2024-10216"/>
    <d v="2024-03-01T00:00:00"/>
    <d v="2024-03-04T00:00:00"/>
    <n v="3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1"/>
    <s v="Unique"/>
    <n v="0.25"/>
    <n v="19214.400000000001"/>
    <n v="8298.3900000000012"/>
    <n v="0.43188389957531853"/>
    <x v="11"/>
    <x v="0"/>
    <s v="Clean"/>
    <s v="Match"/>
    <s v="Match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1"/>
    <s v="Unique"/>
    <n v="0.25"/>
    <n v="11039.22"/>
    <n v="3396.3099999999995"/>
    <n v="0.30765851210502188"/>
    <x v="5"/>
    <x v="1"/>
    <s v="Clean"/>
    <s v="Match"/>
    <s v="Match"/>
  </r>
  <r>
    <s v="ORD-2025-10218"/>
    <d v="2025-04-01T00:00:00"/>
    <d v="2025-04-08T00:00:00"/>
    <n v="7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1"/>
    <s v="Unique"/>
    <n v="0.1"/>
    <n v="4595.76"/>
    <n v="1198.96"/>
    <n v="0.26088394520166414"/>
    <x v="5"/>
    <x v="1"/>
    <s v="Clean"/>
    <s v="Match"/>
    <s v="Match"/>
  </r>
  <r>
    <s v="ORD-2025-10219"/>
    <d v="2025-02-26T00:00:00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n v="1"/>
    <s v="Unique"/>
    <n v="0"/>
    <n v="1291.3999999999999"/>
    <n v="534.46999999999991"/>
    <n v="0.41386866966083319"/>
    <x v="6"/>
    <x v="1"/>
    <s v="Clean"/>
    <s v="Match"/>
    <s v="Match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n v="1"/>
    <s v="Unique"/>
    <n v="0.85"/>
    <n v="36.447000000000003"/>
    <n v="-124.97299999999998"/>
    <n v="-3.4288967541910162"/>
    <x v="2"/>
    <x v="0"/>
    <s v="Clean"/>
    <s v="Mismatch"/>
    <s v="Mismatch"/>
  </r>
  <r>
    <s v="ORD-2024-10221"/>
    <d v="2024-09-03T00:00:00"/>
    <d v="2024-09-03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1"/>
    <s v="Unique"/>
    <n v="0.15"/>
    <n v="9554.5779999999995"/>
    <n v="3486.1079999999993"/>
    <n v="0.36486258210462036"/>
    <x v="7"/>
    <x v="0"/>
    <s v="Clean"/>
    <s v="Match"/>
    <s v="Match"/>
  </r>
  <r>
    <s v="ORD-2025-10222"/>
    <d v="2025-01-12T00:00:00"/>
    <d v="2025-01-15T00:00:00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1"/>
    <s v="Unique"/>
    <n v="0.2"/>
    <n v="4900.8959999999997"/>
    <n v="1348.2059999999997"/>
    <n v="0.27509377877024932"/>
    <x v="10"/>
    <x v="1"/>
    <s v="Clean"/>
    <s v="Match"/>
    <s v="Match"/>
  </r>
  <r>
    <s v="ORD-2025-10223"/>
    <d v="2025-04-29T00:00:00"/>
    <d v="2025-05-02T00:00:00"/>
    <n v="3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1"/>
    <s v="Unique"/>
    <n v="0"/>
    <n v="25848.54"/>
    <n v="8119.4500000000007"/>
    <n v="0.31411638723115504"/>
    <x v="5"/>
    <x v="1"/>
    <s v="Clean"/>
    <s v="Match"/>
    <s v="Match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n v="1"/>
    <s v="Unique"/>
    <n v="0.2"/>
    <n v="1176.72"/>
    <n v="522.39"/>
    <n v="0.44393738527432181"/>
    <x v="6"/>
    <x v="1"/>
    <s v="Clean"/>
    <s v="Match"/>
    <s v="Match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2"/>
    <s v="Review Required"/>
    <n v="0.25"/>
    <n v="11833.92"/>
    <n v="5151"/>
    <n v="0.43527419485681834"/>
    <x v="9"/>
    <x v="1"/>
    <s v="Warning"/>
    <s v="Match"/>
    <s v="Match"/>
  </r>
  <r>
    <s v="ORD-2024-10226"/>
    <d v="2024-09-02T00:00:00"/>
    <d v="2024-09-10T00:00:00"/>
    <n v="8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1"/>
    <s v="Unique"/>
    <n v="0.15"/>
    <n v="5265.5969999999998"/>
    <n v="972.48700000000008"/>
    <n v="0.18468694053114967"/>
    <x v="7"/>
    <x v="0"/>
    <s v="Clean"/>
    <s v="Match"/>
    <s v="Mismatch"/>
  </r>
  <r>
    <s v="ORD-2025-10227"/>
    <d v="2025-04-10T00:00:00"/>
    <d v="2025-04-15T00:00:00"/>
    <n v="5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1"/>
    <s v="Unique"/>
    <n v="0.1"/>
    <n v="1987.443"/>
    <n v="877.21299999999997"/>
    <n v="0.44137768982556985"/>
    <x v="5"/>
    <x v="1"/>
    <s v="Clean"/>
    <s v="Match"/>
    <s v="Match"/>
  </r>
  <r>
    <s v="ORD-2024-10228"/>
    <d v="2024-07-05T00:00:00"/>
    <d v="2024-07-12T00:00:00"/>
    <n v="7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1"/>
    <s v="Unique"/>
    <n v="0.15"/>
    <n v="1473.2625"/>
    <n v="573.40250000000003"/>
    <n v="0.38920592901808065"/>
    <x v="0"/>
    <x v="0"/>
    <s v="Clean"/>
    <s v="Match"/>
    <s v="Match"/>
  </r>
  <r>
    <s v="ORD-2024-10229"/>
    <d v="2024-04-24T00:00:00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n v="1"/>
    <s v="Unique"/>
    <n v="0.15"/>
    <n v="2715.2145"/>
    <n v="1163.6645000000001"/>
    <n v="0.42857184948003191"/>
    <x v="5"/>
    <x v="0"/>
    <s v="Clean"/>
    <s v="Match"/>
    <s v="Match"/>
  </r>
  <r>
    <s v="ORD-2025-10230"/>
    <d v="2025-06-28T00:00:00"/>
    <d v="2025-07-04T00:00:00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1"/>
    <s v="Unique"/>
    <n v="0"/>
    <n v="8658.69"/>
    <n v="3122.7500000000009"/>
    <n v="0.36064924370776652"/>
    <x v="2"/>
    <x v="1"/>
    <s v="Clean"/>
    <s v="Match"/>
    <s v="Match"/>
  </r>
  <r>
    <s v="ORD-2024-10231"/>
    <d v="2024-05-28T00:00:00"/>
    <d v="2024-06-03T00:00:00"/>
    <n v="6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1"/>
    <s v="Unique"/>
    <n v="0.1"/>
    <n v="11090.376"/>
    <n v="2249.4259999999995"/>
    <n v="0.20282684734944958"/>
    <x v="4"/>
    <x v="0"/>
    <s v="Clean"/>
    <s v="Match"/>
    <s v="Match"/>
  </r>
  <r>
    <s v="ORD-2024-10232"/>
    <d v="2024-05-02T00:00:00"/>
    <d v="2024-05-02T00:00:00"/>
    <n v="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n v="1"/>
    <s v="Unique"/>
    <n v="0.25"/>
    <n v="11462.744999999999"/>
    <n v="4299.204999999999"/>
    <n v="0.37505894094302888"/>
    <x v="4"/>
    <x v="0"/>
    <s v="Clean"/>
    <s v="Match"/>
    <s v="Match"/>
  </r>
  <r>
    <s v="ORD-2025-10233"/>
    <d v="2025-06-04T00:00:00"/>
    <d v="2025-06-10T00:00:0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1"/>
    <s v="Unique"/>
    <n v="0.25"/>
    <n v="670.11"/>
    <n v="110.53999999999996"/>
    <n v="0.16495799197146732"/>
    <x v="2"/>
    <x v="1"/>
    <s v="Clean"/>
    <s v="Match"/>
    <s v="Match"/>
  </r>
  <r>
    <s v="ORD-2024-10234"/>
    <d v="2024-10-14T00:00:00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n v="1"/>
    <s v="Unique"/>
    <n v="0"/>
    <n v="31236.720000000001"/>
    <n v="4859.0200000000004"/>
    <n v="0.15555474454424154"/>
    <x v="9"/>
    <x v="0"/>
    <s v="Clean"/>
    <s v="Match"/>
    <s v="Match"/>
  </r>
  <r>
    <s v="ORD-2024-10235"/>
    <d v="2024-09-02T00:00:00"/>
    <d v="2024-09-03T00:00:00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1"/>
    <s v="Unique"/>
    <n v="0.1"/>
    <n v="10964.241"/>
    <n v="1701.7710000000006"/>
    <n v="0.15521101734265058"/>
    <x v="7"/>
    <x v="0"/>
    <s v="Clean"/>
    <s v="Match"/>
    <s v="Match"/>
  </r>
  <r>
    <s v="ORD-2024-10236"/>
    <d v="2024-11-02T00:00:00"/>
    <d v="2024-11-03T00:00:00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1"/>
    <s v="Unique"/>
    <n v="0.05"/>
    <n v="15226.352999999999"/>
    <n v="4081.0729999999985"/>
    <n v="0.26802695300706603"/>
    <x v="3"/>
    <x v="0"/>
    <s v="Clean"/>
    <s v="Match"/>
    <s v="Match"/>
  </r>
  <r>
    <s v="ORD-2024-10237"/>
    <d v="2024-10-14T00:00:00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1"/>
    <s v="Unique"/>
    <n v="0"/>
    <n v="24376.68"/>
    <n v="5843.2900000000009"/>
    <n v="0.23970819652224998"/>
    <x v="9"/>
    <x v="0"/>
    <s v="Clean"/>
    <s v="Match"/>
    <s v="Match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1"/>
    <s v="Unique"/>
    <n v="0"/>
    <n v="20972.7"/>
    <n v="7467.8200000000015"/>
    <n v="0.35607337157352181"/>
    <x v="1"/>
    <x v="0"/>
    <s v="Clean"/>
    <s v="Match"/>
    <s v="Match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1"/>
    <s v="Unique"/>
    <n v="0.55000000000000004"/>
    <n v="12615.907499999999"/>
    <n v="-6222.8425000000007"/>
    <n v="-0.4932536561480021"/>
    <x v="10"/>
    <x v="0"/>
    <s v="Clean"/>
    <s v="Mismatch"/>
    <s v="Mismatch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1"/>
    <s v="Unique"/>
    <n v="0.2"/>
    <n v="3136.096"/>
    <n v="856.60600000000022"/>
    <n v="0.273144061916472"/>
    <x v="7"/>
    <x v="0"/>
    <s v="Clean"/>
    <s v="Match"/>
    <s v="Match"/>
  </r>
  <r>
    <s v="ORD-2024-10241"/>
    <d v="2024-12-17T00:00:00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n v="1"/>
    <s v="Unique"/>
    <n v="0"/>
    <n v="20835.899999999998"/>
    <n v="6907.7099999999973"/>
    <n v="0.33152923559817421"/>
    <x v="8"/>
    <x v="0"/>
    <s v="Clean"/>
    <s v="Match"/>
    <s v="Match"/>
  </r>
  <r>
    <s v="ORD-2025-10242"/>
    <d v="2025-07-06T00:00:00"/>
    <d v="2025-07-06T00:00:00"/>
    <n v="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1"/>
    <s v="Unique"/>
    <n v="0.25"/>
    <n v="1212.9000000000001"/>
    <n v="522.38000000000011"/>
    <n v="0.4306867837414462"/>
    <x v="0"/>
    <x v="1"/>
    <s v="Clean"/>
    <s v="Match"/>
    <s v="Match"/>
  </r>
  <r>
    <s v="ORD-2025-10243"/>
    <d v="2025-02-07T00:00:00"/>
    <d v="2025-02-07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1"/>
    <s v="Unique"/>
    <n v="0.05"/>
    <n v="5697.8339999999998"/>
    <n v="1446.3339999999998"/>
    <n v="0.25383926593860051"/>
    <x v="6"/>
    <x v="1"/>
    <s v="Clean"/>
    <s v="Match"/>
    <s v="Match"/>
  </r>
  <r>
    <s v="ORD-2025-10244"/>
    <d v="2025-07-29T00:00:00"/>
    <d v="2025-08-02T00:00:00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n v="1"/>
    <s v="Unique"/>
    <n v="0.1"/>
    <n v="4049.5140000000001"/>
    <n v="1540.3140000000003"/>
    <n v="0.38037008885510715"/>
    <x v="0"/>
    <x v="1"/>
    <s v="Clean"/>
    <s v="Match"/>
    <s v="Match"/>
  </r>
  <r>
    <s v="ORD-2024-10245"/>
    <d v="2024-08-23T00:00:00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1"/>
    <s v="Unique"/>
    <n v="0"/>
    <n v="6131.34"/>
    <n v="2070.46"/>
    <n v="0.33768474754295147"/>
    <x v="1"/>
    <x v="0"/>
    <s v="Clean"/>
    <s v="Match"/>
    <s v="Match"/>
  </r>
  <r>
    <s v="ORD-2024-10246"/>
    <d v="2024-10-18T00:00:00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n v="1"/>
    <s v="Unique"/>
    <n v="0"/>
    <n v="9827.7899999999991"/>
    <n v="4349.5099999999993"/>
    <n v="0.44257254174132737"/>
    <x v="9"/>
    <x v="0"/>
    <s v="Clean"/>
    <s v="Match"/>
    <s v="Match"/>
  </r>
  <r>
    <s v="ORD-2024-10247"/>
    <d v="2024-05-04T00:00:00"/>
    <d v="2024-05-09T00:00:00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1"/>
    <s v="Unique"/>
    <n v="0.25"/>
    <n v="521.88749999999993"/>
    <n v="77.36749999999995"/>
    <n v="0.14824555100476627"/>
    <x v="4"/>
    <x v="0"/>
    <s v="Clean"/>
    <s v="Match"/>
    <s v="Match"/>
  </r>
  <r>
    <s v="ORD-2024-10248"/>
    <d v="2024-07-25T00:00:00"/>
    <d v="2024-08-01T00:00:00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1"/>
    <s v="Unique"/>
    <n v="0.25"/>
    <n v="14960.400000000001"/>
    <n v="2459.5600000000013"/>
    <n v="0.16440469506162944"/>
    <x v="0"/>
    <x v="0"/>
    <s v="Clean"/>
    <s v="Match"/>
    <s v="Match"/>
  </r>
  <r>
    <s v="ORD-2024-10249"/>
    <d v="2024-06-02T00:00:00"/>
    <d v="2024-06-07T00:00:00"/>
    <n v="5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1"/>
    <s v="Unique"/>
    <n v="0.15"/>
    <n v="6027.5114999999996"/>
    <n v="1143.6914999999999"/>
    <n v="0.18974522072666306"/>
    <x v="2"/>
    <x v="0"/>
    <s v="Clean"/>
    <s v="Match"/>
    <s v="Match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1"/>
    <s v="Unique"/>
    <n v="0.2"/>
    <n v="8928.9279999999999"/>
    <n v="3294.5479999999998"/>
    <n v="0.36897464062875185"/>
    <x v="1"/>
    <x v="1"/>
    <s v="Clean"/>
    <s v="Match"/>
    <s v="Match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1"/>
    <s v="Unique"/>
    <n v="0.15"/>
    <n v="14338.904999999999"/>
    <n v="2441.2549999999992"/>
    <n v="0.17025393501107647"/>
    <x v="6"/>
    <x v="0"/>
    <s v="Clean"/>
    <s v="Match"/>
    <s v="Match"/>
  </r>
  <r>
    <s v="ORD-2025-10252"/>
    <d v="2025-04-06T00:00:00"/>
    <d v="2025-04-10T00:00:00"/>
    <n v="4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1"/>
    <s v="Unique"/>
    <n v="0"/>
    <n v="6132.96"/>
    <n v="1251.8599999999997"/>
    <n v="0.20412003339333692"/>
    <x v="5"/>
    <x v="1"/>
    <s v="Clean"/>
    <s v="Match"/>
    <s v="Match"/>
  </r>
  <r>
    <s v="ORD-2025-10253"/>
    <d v="2025-06-25T00:00:00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n v="1"/>
    <s v="Unique"/>
    <n v="0.2"/>
    <n v="2329.4720000000002"/>
    <n v="725.85200000000032"/>
    <n v="0.31159507390515973"/>
    <x v="2"/>
    <x v="1"/>
    <s v="Clean"/>
    <s v="Match"/>
    <s v="Match"/>
  </r>
  <r>
    <s v="ORD-2024-10254"/>
    <d v="2024-09-12T00:00:00"/>
    <d v="2024-09-13T00:00:00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1"/>
    <s v="Unique"/>
    <n v="0.05"/>
    <n v="4746.9029999999993"/>
    <n v="1921.5229999999992"/>
    <n v="0.40479508428969363"/>
    <x v="7"/>
    <x v="0"/>
    <s v="Clean"/>
    <s v="Match"/>
    <s v="Mismatch"/>
  </r>
  <r>
    <s v="ORD-2025-10255"/>
    <d v="2025-01-01T00:00:00"/>
    <d v="2025-01-03T00:00:00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1"/>
    <s v="Unique"/>
    <n v="0.2"/>
    <n v="5603.08"/>
    <n v="2470.56"/>
    <n v="0.44092891766671188"/>
    <x v="10"/>
    <x v="1"/>
    <s v="Clean"/>
    <s v="Match"/>
    <s v="Match"/>
  </r>
  <r>
    <s v="ORD-2025-10256"/>
    <d v="2025-02-04T00:00:00"/>
    <d v="2025-02-10T00:00:00"/>
    <n v="6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1"/>
    <s v="Unique"/>
    <n v="0"/>
    <n v="12810"/>
    <n v="3475.8799999999992"/>
    <n v="0.27134113973458229"/>
    <x v="6"/>
    <x v="1"/>
    <s v="Clean"/>
    <s v="Match"/>
    <s v="Match"/>
  </r>
  <r>
    <s v="ORD-2024-10257"/>
    <d v="2024-11-05T00:00:00"/>
    <d v="2024-11-03T00:00:00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1"/>
    <s v="Unique"/>
    <n v="0.05"/>
    <n v="19328.215500000002"/>
    <n v="7288.7155000000021"/>
    <n v="0.3771023507058891"/>
    <x v="3"/>
    <x v="0"/>
    <s v="Invalid"/>
    <s v="Match"/>
    <s v="Match"/>
  </r>
  <r>
    <s v="ORD-2025-10258"/>
    <d v="2025-08-09T00:00:00"/>
    <d v="2025-08-12T00:00:00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1"/>
    <s v="Unique"/>
    <n v="0"/>
    <n v="6474.54"/>
    <n v="1378.63"/>
    <n v="0.21293095725719513"/>
    <x v="1"/>
    <x v="1"/>
    <s v="Clean"/>
    <s v="Match"/>
    <s v="Match"/>
  </r>
  <r>
    <s v="ORD-2024-10259"/>
    <d v="2024-12-30T00:00:00"/>
    <d v="2025-01-04T00:00:00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1"/>
    <s v="Unique"/>
    <n v="0.25"/>
    <n v="5580.1050000000005"/>
    <n v="1273.0950000000003"/>
    <n v="0.22814893268137429"/>
    <x v="8"/>
    <x v="0"/>
    <s v="Clean"/>
    <s v="Match"/>
    <s v="Match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1"/>
    <s v="Unique"/>
    <n v="0.2"/>
    <n v="18265.088"/>
    <n v="7827.9480000000003"/>
    <n v="0.42857433810338064"/>
    <x v="2"/>
    <x v="0"/>
    <s v="Clean"/>
    <s v="Match"/>
    <s v="Match"/>
  </r>
  <r>
    <s v="ORD-2025-10261"/>
    <d v="2025-09-23T00:00:00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1"/>
    <s v="Unique"/>
    <n v="0.25"/>
    <n v="15209.880000000001"/>
    <n v="4318.7300000000014"/>
    <n v="0.28394241111698454"/>
    <x v="7"/>
    <x v="1"/>
    <s v="Clean"/>
    <s v="Match"/>
    <s v="Match"/>
  </r>
  <r>
    <s v="ORD-2025-10262"/>
    <d v="2025-06-18T00:00:00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1"/>
    <s v="Unique"/>
    <n v="0.2"/>
    <n v="1648.1760000000004"/>
    <n v="660.26600000000042"/>
    <n v="0.40060406170214846"/>
    <x v="2"/>
    <x v="1"/>
    <s v="Clean"/>
    <s v="Match"/>
    <s v="Match"/>
  </r>
  <r>
    <s v="ORD-2025-10263"/>
    <d v="2025-05-26T00:00:00"/>
    <d v="2025-06-01T00:00:00"/>
    <n v="6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1"/>
    <s v="Unique"/>
    <n v="0"/>
    <n v="13399.44"/>
    <n v="4818.09"/>
    <n v="0.3595739821962709"/>
    <x v="4"/>
    <x v="1"/>
    <s v="Clean"/>
    <s v="Match"/>
    <s v="Match"/>
  </r>
  <r>
    <s v="ORD-2025-10264"/>
    <d v="2025-08-06T00:00:00"/>
    <d v="2025-08-10T00:00:00"/>
    <n v="4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1"/>
    <s v="Unique"/>
    <n v="0.1"/>
    <n v="32743.844999999998"/>
    <n v="10291.794999999998"/>
    <n v="0.314312353970647"/>
    <x v="1"/>
    <x v="1"/>
    <s v="Clean"/>
    <s v="Match"/>
    <s v="Match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1"/>
    <s v="Unique"/>
    <n v="0"/>
    <n v="6012.28"/>
    <n v="2084.64"/>
    <n v="0.34673035853286938"/>
    <x v="4"/>
    <x v="0"/>
    <s v="Clean"/>
    <s v="Match"/>
    <s v="Match"/>
  </r>
  <r>
    <s v="ORD-2024-10266"/>
    <d v="2024-11-14T00:00:00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1"/>
    <s v="Unique"/>
    <n v="0.15"/>
    <n v="495.0145"/>
    <n v="209.8845"/>
    <n v="0.42399667080459258"/>
    <x v="3"/>
    <x v="0"/>
    <s v="Clean"/>
    <s v="Match"/>
    <s v="Match"/>
  </r>
  <r>
    <s v="ORD-2025-10267"/>
    <d v="2025-05-03T00:00:00"/>
    <d v="2025-05-10T00:00:0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1"/>
    <s v="Unique"/>
    <n v="0"/>
    <n v="13017.72"/>
    <n v="2847.1499999999996"/>
    <n v="0.21871341525244051"/>
    <x v="4"/>
    <x v="1"/>
    <s v="Clean"/>
    <s v="Match"/>
    <s v="Match"/>
  </r>
  <r>
    <s v="ORD-2025-10268"/>
    <d v="2025-05-28T00:00:00"/>
    <d v="2025-06-04T00:00:00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1"/>
    <s v="Unique"/>
    <n v="0.25"/>
    <n v="785.40000000000009"/>
    <n v="228.18000000000006"/>
    <n v="0.29052711993888469"/>
    <x v="4"/>
    <x v="1"/>
    <s v="Clean"/>
    <s v="Match"/>
    <s v="Match"/>
  </r>
  <r>
    <s v="ORD-2025-10269"/>
    <d v="2025-08-17T00:00:00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1"/>
    <s v="Unique"/>
    <n v="0.25"/>
    <n v="3319.05"/>
    <n v="1194.4500000000003"/>
    <n v="0.35987707325891449"/>
    <x v="1"/>
    <x v="1"/>
    <s v="Clean"/>
    <s v="Match"/>
    <s v="Match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1"/>
    <s v="Unique"/>
    <n v="0"/>
    <n v="1925.86"/>
    <n v="603.9699999999998"/>
    <n v="0.31361054282242729"/>
    <x v="6"/>
    <x v="1"/>
    <s v="Clean"/>
    <s v="Match"/>
    <s v="Match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1"/>
    <s v="Unique"/>
    <n v="0"/>
    <n v="2482.3200000000002"/>
    <n v="962.11000000000013"/>
    <n v="0.38758500112797706"/>
    <x v="10"/>
    <x v="0"/>
    <s v="Clean"/>
    <s v="Match"/>
    <s v="Match"/>
  </r>
  <r>
    <s v="ORD-2024-10272"/>
    <d v="2024-12-21T00:00:00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1"/>
    <s v="Unique"/>
    <n v="0"/>
    <n v="11674.25"/>
    <n v="2053.0599999999995"/>
    <n v="0.17586226095894808"/>
    <x v="8"/>
    <x v="0"/>
    <s v="Clean"/>
    <s v="Match"/>
    <s v="Match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2"/>
    <s v="Review Required"/>
    <n v="0.1"/>
    <n v="3510.4230000000002"/>
    <n v="1318.9230000000002"/>
    <n v="0.37571625983535323"/>
    <x v="1"/>
    <x v="0"/>
    <s v="Warning"/>
    <s v="Match"/>
    <s v="Mismatch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1"/>
    <s v="Unique"/>
    <n v="0"/>
    <n v="22694.670000000002"/>
    <n v="7289.3100000000013"/>
    <n v="0.32119039404406413"/>
    <x v="6"/>
    <x v="1"/>
    <s v="Clean"/>
    <s v="Match"/>
    <s v="Match"/>
  </r>
  <r>
    <s v="ORD-2024-10275"/>
    <d v="2024-04-07T00:00:00"/>
    <d v="2024-04-14T00:00:00"/>
    <n v="7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n v="1"/>
    <s v="Unique"/>
    <n v="0.15"/>
    <n v="21658.221000000001"/>
    <n v="6167.5310000000009"/>
    <n v="0.28476627881856043"/>
    <x v="5"/>
    <x v="0"/>
    <s v="Clean"/>
    <s v="Match"/>
    <s v="Match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1"/>
    <s v="Unique"/>
    <n v="0"/>
    <n v="980.51"/>
    <n v="319.59000000000003"/>
    <n v="0.32594262169687205"/>
    <x v="6"/>
    <x v="0"/>
    <s v="Clean"/>
    <s v="Match"/>
    <s v="Match"/>
  </r>
  <r>
    <s v="ORD-2024-10277"/>
    <d v="2024-01-22T00:00:0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n v="1"/>
    <s v="Unique"/>
    <n v="-0.14000000000000001"/>
    <n v="23198.065200000005"/>
    <n v="14784.535200000004"/>
    <n v="0.63731759836591895"/>
    <x v="10"/>
    <x v="0"/>
    <s v="Invalid"/>
    <s v="Mismatch"/>
    <s v="Mismatch"/>
  </r>
  <r>
    <s v="ORD-2025-10278"/>
    <d v="2025-06-04T00:00:00"/>
    <d v="2025-06-04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1"/>
    <s v="Unique"/>
    <n v="0.15"/>
    <n v="1813.6704999999999"/>
    <n v="811.1004999999999"/>
    <n v="0.4472149158295291"/>
    <x v="2"/>
    <x v="1"/>
    <s v="Clean"/>
    <s v="Mismatch"/>
    <s v="Match"/>
  </r>
  <r>
    <s v="ORD-2025-10279"/>
    <d v="2025-03-07T00:00:00"/>
    <d v="2025-03-14T00:00:00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1"/>
    <s v="Unique"/>
    <n v="0.05"/>
    <n v="3780.6579999999999"/>
    <n v="1632.348"/>
    <n v="0.43176293650470365"/>
    <x v="11"/>
    <x v="1"/>
    <s v="Clean"/>
    <s v="Match"/>
    <s v="Match"/>
  </r>
  <r>
    <s v="ORD-2024-10280"/>
    <d v="2024-04-09T00:00:00"/>
    <d v="2024-04-10T00:00:0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1"/>
    <s v="Unique"/>
    <n v="0.05"/>
    <n v="4141.1639999999998"/>
    <n v="1386.9939999999997"/>
    <n v="0.33492853700070796"/>
    <x v="5"/>
    <x v="0"/>
    <s v="Clean"/>
    <s v="Match"/>
    <s v="Match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1"/>
    <s v="Unique"/>
    <n v="0"/>
    <n v="8943.0299999999988"/>
    <n v="3777.6499999999987"/>
    <n v="0.42241276167026154"/>
    <x v="8"/>
    <x v="0"/>
    <s v="Clean"/>
    <s v="Match"/>
    <s v="Match"/>
  </r>
  <r>
    <s v="ORD-2025-10282"/>
    <d v="2025-07-25T00:00:00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n v="1"/>
    <s v="Unique"/>
    <n v="0.2"/>
    <n v="16504.223999999998"/>
    <n v="5241.5139999999992"/>
    <n v="0.31758621308096641"/>
    <x v="0"/>
    <x v="1"/>
    <s v="Clean"/>
    <s v="Match"/>
    <s v="Match"/>
  </r>
  <r>
    <s v="ORD-2024-10283"/>
    <d v="2024-10-01T00:00:00"/>
    <d v="2024-10-02T00:00:00"/>
    <n v="1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1"/>
    <s v="Unique"/>
    <n v="0"/>
    <n v="4596"/>
    <n v="1375.67"/>
    <n v="0.29931897302001742"/>
    <x v="9"/>
    <x v="0"/>
    <s v="Clean"/>
    <s v="Match"/>
    <s v="Match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1"/>
    <s v="Unique"/>
    <n v="0"/>
    <n v="1814.01"/>
    <n v="780.54"/>
    <n v="0.43028428729720342"/>
    <x v="11"/>
    <x v="1"/>
    <s v="Clean"/>
    <s v="Match"/>
    <s v="Match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1"/>
    <s v="Unique"/>
    <n v="0"/>
    <n v="4730.76"/>
    <n v="1591.0300000000002"/>
    <n v="0.33631594077907145"/>
    <x v="8"/>
    <x v="0"/>
    <s v="Clean"/>
    <s v="Match"/>
    <s v="Match"/>
  </r>
  <r>
    <s v="ORD-2025-10286"/>
    <d v="2025-08-15T00:00:00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1"/>
    <s v="Unique"/>
    <n v="0"/>
    <n v="36735.93"/>
    <n v="5915.09"/>
    <n v="0.16101647624001897"/>
    <x v="1"/>
    <x v="1"/>
    <s v="Clean"/>
    <s v="Match"/>
    <s v="Match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n v="1"/>
    <s v="Unique"/>
    <n v="0.1"/>
    <n v="4421.3399999999992"/>
    <n v="1931.3599999999992"/>
    <n v="0.43682684435035524"/>
    <x v="6"/>
    <x v="0"/>
    <s v="Clean"/>
    <s v="Match"/>
    <s v="Match"/>
  </r>
  <r>
    <s v="ORD-2024-10288"/>
    <d v="2024-09-05T00:00:00"/>
    <d v="2024-09-07T00:00:00"/>
    <n v="2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1"/>
    <s v="Unique"/>
    <n v="0.15"/>
    <n v="6516.9329999999991"/>
    <n v="2005.3929999999991"/>
    <n v="0.30772036477895343"/>
    <x v="7"/>
    <x v="0"/>
    <s v="Clean"/>
    <s v="Match"/>
    <s v="Match"/>
  </r>
  <r>
    <s v="ORD-2024-10289"/>
    <d v="2024-06-24T00:00:00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1"/>
    <s v="Unique"/>
    <n v="0.15"/>
    <n v="7411.829999999999"/>
    <n v="2507.1999999999989"/>
    <n v="0.3382700358750807"/>
    <x v="2"/>
    <x v="0"/>
    <s v="Clean"/>
    <s v="Match"/>
    <s v="Match"/>
  </r>
  <r>
    <s v="ORD-2025-10290"/>
    <d v="2025-06-19T00:00:00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n v="1"/>
    <s v="Unique"/>
    <n v="0.05"/>
    <n v="8258.7109999999993"/>
    <n v="1239.7409999999991"/>
    <n v="0.15011313508851432"/>
    <x v="2"/>
    <x v="1"/>
    <s v="Clean"/>
    <s v="Match"/>
    <s v="Match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1"/>
    <s v="Unique"/>
    <n v="0.1"/>
    <n v="1658.3670000000002"/>
    <n v="687.24700000000018"/>
    <n v="0.41441188832146331"/>
    <x v="1"/>
    <x v="1"/>
    <s v="Clean"/>
    <s v="Match"/>
    <s v="Match"/>
  </r>
  <r>
    <s v="ORD-2024-10292"/>
    <d v="2024-04-05T00:00:00"/>
    <d v="2024-04-10T00:00:00"/>
    <n v="5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1"/>
    <s v="Unique"/>
    <n v="0.25"/>
    <n v="9685.98"/>
    <n v="1955.9399999999996"/>
    <n v="0.20193516815025425"/>
    <x v="5"/>
    <x v="0"/>
    <s v="Clean"/>
    <s v="Match"/>
    <s v="Match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1"/>
    <s v="Unique"/>
    <n v="0"/>
    <n v="33740.549999999996"/>
    <n v="9118.6599999999962"/>
    <n v="0.2702581908119458"/>
    <x v="6"/>
    <x v="1"/>
    <s v="Clean"/>
    <s v="Match"/>
    <s v="Match"/>
  </r>
  <r>
    <s v="ORD-2024-10294"/>
    <d v="2024-03-07T00:00:00"/>
    <d v="2024-03-11T00:00:00"/>
    <n v="4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1"/>
    <s v="Unique"/>
    <n v="0.65"/>
    <n v="3081.0569999999998"/>
    <n v="-3459.9830000000002"/>
    <n v="-1.1229857156164267"/>
    <x v="11"/>
    <x v="0"/>
    <s v="Clean"/>
    <s v="Mismatch"/>
    <s v="Mismatch"/>
  </r>
  <r>
    <s v="ORD-2025-10295"/>
    <d v="2025-07-16T00:00:00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1"/>
    <s v="Unique"/>
    <n v="0.25"/>
    <n v="18716.985000000001"/>
    <n v="6434.5550000000003"/>
    <n v="0.34378159730319813"/>
    <x v="0"/>
    <x v="1"/>
    <s v="Clean"/>
    <s v="Match"/>
    <s v="Match"/>
  </r>
  <r>
    <s v="ORD-2025-10296"/>
    <d v="2025-06-25T00:00:00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1"/>
    <s v="Unique"/>
    <n v="0.1"/>
    <n v="9385.3350000000009"/>
    <n v="3556.795000000001"/>
    <n v="0.37897368607513748"/>
    <x v="2"/>
    <x v="1"/>
    <s v="Clean"/>
    <s v="Match"/>
    <s v="Match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1"/>
    <s v="Unique"/>
    <n v="0.15"/>
    <n v="17826.591"/>
    <n v="6971.241"/>
    <n v="0.39105855965394615"/>
    <x v="4"/>
    <x v="1"/>
    <s v="Clean"/>
    <s v="Match"/>
    <s v="Match"/>
  </r>
  <r>
    <s v="ORD-2024-10298"/>
    <d v="2024-10-29T00:00:00"/>
    <d v="2024-11-06T00:00:00"/>
    <n v="8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1"/>
    <s v="Unique"/>
    <n v="0.15"/>
    <n v="5966.5920000000006"/>
    <n v="1971.8720000000008"/>
    <n v="0.33048547646629778"/>
    <x v="9"/>
    <x v="0"/>
    <s v="Clean"/>
    <s v="Match"/>
    <s v="Match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n v="1"/>
    <s v="Unique"/>
    <n v="0.2"/>
    <n v="1951.5440000000003"/>
    <n v="341.59400000000028"/>
    <n v="0.17503781621116421"/>
    <x v="10"/>
    <x v="1"/>
    <s v="Clean"/>
    <s v="Match"/>
    <s v="Match"/>
  </r>
  <r>
    <s v="ORD-2024-10300"/>
    <d v="2024-11-06T00:00:00"/>
    <d v="2024-11-12T00:00:00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1"/>
    <s v="Unique"/>
    <n v="0.1"/>
    <n v="10830.015000000001"/>
    <n v="3774.7050000000008"/>
    <n v="0.34854106850267524"/>
    <x v="3"/>
    <x v="0"/>
    <s v="Clean"/>
    <s v="Match"/>
    <s v="Match"/>
  </r>
  <r>
    <s v="ORD-2024-10301"/>
    <d v="2024-04-15T00:00:00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n v="1"/>
    <s v="Unique"/>
    <n v="0.1"/>
    <n v="31539.293999999998"/>
    <n v="9439.1539999999986"/>
    <n v="0.29928234918638313"/>
    <x v="5"/>
    <x v="0"/>
    <s v="Clean"/>
    <s v="Match"/>
    <s v="Match"/>
  </r>
  <r>
    <s v="ORD-2025-10302"/>
    <d v="2025-05-28T00:00:00"/>
    <d v="2025-06-01T00:00:00"/>
    <n v="4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1"/>
    <s v="Unique"/>
    <n v="0.05"/>
    <n v="6285.6179999999995"/>
    <n v="2580.2379999999994"/>
    <n v="0.41049869718458865"/>
    <x v="4"/>
    <x v="1"/>
    <s v="Clean"/>
    <s v="Match"/>
    <s v="Match"/>
  </r>
  <r>
    <s v="ORD-2025-10303"/>
    <d v="2025-06-04T00:00:00"/>
    <d v="2025-06-12T00:00:00"/>
    <n v="8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1"/>
    <s v="Unique"/>
    <n v="0.25"/>
    <n v="4054.92"/>
    <n v="1630.0900000000001"/>
    <n v="0.40200299882611745"/>
    <x v="2"/>
    <x v="1"/>
    <s v="Clean"/>
    <s v="Match"/>
    <s v="Match"/>
  </r>
  <r>
    <s v="ORD-2024-10304"/>
    <d v="2024-06-23T00:00:00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n v="1"/>
    <s v="Unique"/>
    <n v="0.1"/>
    <n v="2363.652"/>
    <n v="487.55200000000013"/>
    <n v="0.20627063544041174"/>
    <x v="2"/>
    <x v="0"/>
    <s v="Clean"/>
    <s v="Match"/>
    <s v="Match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1"/>
    <s v="Unique"/>
    <n v="0.1"/>
    <n v="12976.470000000001"/>
    <n v="2956.4900000000016"/>
    <n v="0.22783468847845378"/>
    <x v="11"/>
    <x v="0"/>
    <s v="Clean"/>
    <s v="Match"/>
    <s v="Match"/>
  </r>
  <r>
    <s v="ORD-2024-10306"/>
    <d v="2024-05-01T00:00:00"/>
    <d v="2024-05-02T00:00:00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1"/>
    <s v="Unique"/>
    <n v="0.55000000000000004"/>
    <n v="7480.9080000000004"/>
    <n v="-2371.0019999999995"/>
    <n v="-0.31694040349112695"/>
    <x v="4"/>
    <x v="0"/>
    <s v="Clean"/>
    <s v="Mismatch"/>
    <s v="Mismatch"/>
  </r>
  <r>
    <s v="ORD-2025-10307"/>
    <d v="2025-02-20T00:00:00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1"/>
    <s v="Unique"/>
    <n v="0"/>
    <n v="14692.44"/>
    <n v="4610.25"/>
    <n v="0.31378382351740075"/>
    <x v="6"/>
    <x v="1"/>
    <s v="Clean"/>
    <s v="Match"/>
    <s v="Match"/>
  </r>
  <r>
    <s v="ORD-2025-10308"/>
    <d v="2025-07-12T00:00:00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1"/>
    <s v="Unique"/>
    <n v="0.2"/>
    <n v="29469.888000000003"/>
    <n v="10534.378000000004"/>
    <n v="0.3574624375905332"/>
    <x v="0"/>
    <x v="1"/>
    <s v="Clean"/>
    <s v="Match"/>
    <s v="Match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1"/>
    <s v="Unique"/>
    <n v="0.2"/>
    <n v="2341.0240000000003"/>
    <n v="775.53400000000033"/>
    <n v="0.33127981601213835"/>
    <x v="2"/>
    <x v="1"/>
    <s v="Clean"/>
    <s v="Match"/>
    <s v="Match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1"/>
    <s v="Unique"/>
    <n v="0.1"/>
    <n v="12982.599"/>
    <n v="5736.2390000000005"/>
    <n v="0.441840574448922"/>
    <x v="0"/>
    <x v="0"/>
    <s v="Clean"/>
    <s v="Match"/>
    <s v="Match"/>
  </r>
  <r>
    <s v="ORD-2024-10311"/>
    <d v="2024-07-04T00:00:00"/>
    <d v="2024-07-08T00:00:00"/>
    <n v="4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1"/>
    <s v="Unique"/>
    <n v="0"/>
    <n v="16274"/>
    <n v="6849.75"/>
    <n v="0.42090143787636719"/>
    <x v="0"/>
    <x v="0"/>
    <s v="Clean"/>
    <s v="Match"/>
    <s v="Match"/>
  </r>
  <r>
    <s v="ORD-2024-10312"/>
    <d v="2024-04-27T00:00:00"/>
    <d v="2024-05-02T00:00:00"/>
    <n v="5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n v="1"/>
    <s v="Unique"/>
    <n v="0.1"/>
    <n v="2493.1799999999998"/>
    <n v="729.17999999999984"/>
    <n v="0.29246985777200196"/>
    <x v="5"/>
    <x v="0"/>
    <s v="Clean"/>
    <s v="Match"/>
    <s v="Match"/>
  </r>
  <r>
    <s v="ORD-2024-10313"/>
    <d v="2024-07-31T00:00:00"/>
    <d v="2024-08-04T00:00:00"/>
    <n v="4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n v="1"/>
    <s v="Unique"/>
    <n v="0"/>
    <n v="20917.919999999998"/>
    <n v="10870.589999999998"/>
    <n v="0.5196783427797792"/>
    <x v="0"/>
    <x v="0"/>
    <s v="Clean"/>
    <s v="Mismatch"/>
    <s v="Mismatch"/>
  </r>
  <r>
    <s v="ORD-2025-10314"/>
    <d v="2025-05-30T00:00:00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n v="1"/>
    <s v="Unique"/>
    <n v="0.25"/>
    <n v="12488.579999999998"/>
    <n v="1771.1799999999985"/>
    <n v="0.14182397037933847"/>
    <x v="4"/>
    <x v="1"/>
    <s v="Clean"/>
    <s v="Match"/>
    <s v="Match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2"/>
    <s v="Review Required"/>
    <n v="0.15"/>
    <n v="6485.3639999999996"/>
    <n v="1109.1939999999995"/>
    <n v="0.17103033846673826"/>
    <x v="4"/>
    <x v="1"/>
    <s v="Warning"/>
    <s v="Match"/>
    <s v="Match"/>
  </r>
  <r>
    <s v="ORD-2024-10316"/>
    <d v="2024-07-02T00:00:00"/>
    <d v="2024-07-08T00:00:00"/>
    <n v="6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1"/>
    <s v="Unique"/>
    <n v="0.05"/>
    <n v="29500.920000000002"/>
    <n v="11511.240000000002"/>
    <n v="0.39019935649464493"/>
    <x v="0"/>
    <x v="0"/>
    <s v="Clean"/>
    <s v="Match"/>
    <s v="Match"/>
  </r>
  <r>
    <s v="ORD-2024-10317"/>
    <d v="2024-02-16T00:00:00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n v="1"/>
    <s v="Unique"/>
    <n v="0.2"/>
    <n v="3116.0480000000002"/>
    <n v="1159.4180000000001"/>
    <n v="0.37207963420332424"/>
    <x v="6"/>
    <x v="0"/>
    <s v="Clean"/>
    <s v="Match"/>
    <s v="Match"/>
  </r>
  <r>
    <s v="ORD-2025-10318"/>
    <d v="2025-08-29T00:00:00"/>
    <d v="2025-09-04T00:00:00"/>
    <n v="6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1"/>
    <s v="Unique"/>
    <n v="0.15"/>
    <n v="22926.820499999998"/>
    <n v="8305.2304999999978"/>
    <n v="0.36224955396671765"/>
    <x v="1"/>
    <x v="1"/>
    <s v="Clean"/>
    <s v="Match"/>
    <s v="Match"/>
  </r>
  <r>
    <s v="ORD-2024-10319"/>
    <d v="2024-04-25T00:00:00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n v="1"/>
    <s v="Unique"/>
    <n v="0.1"/>
    <n v="11203.542000000001"/>
    <n v="2750.612000000001"/>
    <n v="0.24551271374713468"/>
    <x v="5"/>
    <x v="0"/>
    <s v="Clean"/>
    <s v="Match"/>
    <s v="Match"/>
  </r>
  <r>
    <s v="ORD-2024-10320"/>
    <d v="2024-08-21T00:00:00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1"/>
    <s v="Unique"/>
    <n v="0"/>
    <n v="270.27999999999997"/>
    <n v="113.93999999999997"/>
    <n v="0.42156282373834536"/>
    <x v="1"/>
    <x v="0"/>
    <s v="Clean"/>
    <s v="Match"/>
    <s v="Match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n v="1"/>
    <s v="Unique"/>
    <n v="0.7"/>
    <n v="788.52600000000018"/>
    <n v="-753.01399999999978"/>
    <n v="-0.95496407220560842"/>
    <x v="8"/>
    <x v="0"/>
    <s v="Clean"/>
    <s v="Mismatch"/>
    <s v="Mismatch"/>
  </r>
  <r>
    <s v="ORD-2024-10322"/>
    <d v="2024-06-23T00:00:00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1"/>
    <s v="Unique"/>
    <n v="0"/>
    <n v="2699.28"/>
    <n v="939.52000000000021"/>
    <n v="0.34806318722029583"/>
    <x v="2"/>
    <x v="0"/>
    <s v="Clean"/>
    <s v="Match"/>
    <s v="Match"/>
  </r>
  <r>
    <s v="ORD-2024-10323"/>
    <d v="2024-11-12T00:00:00"/>
    <d v="2024-11-12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1"/>
    <s v="Unique"/>
    <n v="0.15"/>
    <n v="6984.3480000000009"/>
    <n v="2960.7180000000008"/>
    <n v="0.42390757161584736"/>
    <x v="3"/>
    <x v="0"/>
    <s v="Clean"/>
    <s v="Match"/>
    <s v="Match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1"/>
    <s v="Unique"/>
    <n v="0.15"/>
    <n v="10185.669"/>
    <n v="3706.3589999999995"/>
    <n v="0.36387978050337189"/>
    <x v="6"/>
    <x v="0"/>
    <s v="Clean"/>
    <s v="Match"/>
    <s v="Match"/>
  </r>
  <r>
    <s v="ORD-2025-10325"/>
    <d v="2025-07-31T00:00:00"/>
    <d v="2025-08-02T00:00:00"/>
    <n v="2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1"/>
    <s v="Unique"/>
    <n v="0.15"/>
    <n v="1655.6980000000001"/>
    <n v="300.89800000000014"/>
    <n v="0.1817348332848141"/>
    <x v="0"/>
    <x v="1"/>
    <s v="Clean"/>
    <s v="Match"/>
    <s v="Match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1"/>
    <s v="Unique"/>
    <n v="0.15"/>
    <n v="15602.6"/>
    <n v="3694.08"/>
    <n v="0.236760539910015"/>
    <x v="7"/>
    <x v="1"/>
    <s v="Clean"/>
    <s v="Match"/>
    <s v="Match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1"/>
    <s v="Unique"/>
    <n v="0.05"/>
    <n v="15138.487499999999"/>
    <n v="3902.7674999999999"/>
    <n v="0.25780432160082045"/>
    <x v="0"/>
    <x v="1"/>
    <s v="Clean"/>
    <s v="Match"/>
    <s v="Match"/>
  </r>
  <r>
    <s v="ORD-2024-10328"/>
    <d v="2024-07-24T00:00:00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n v="1"/>
    <s v="Unique"/>
    <n v="0.2"/>
    <n v="4402.92"/>
    <n v="1408.98"/>
    <n v="0.32001035676323897"/>
    <x v="0"/>
    <x v="0"/>
    <s v="Clean"/>
    <s v="Match"/>
    <s v="Match"/>
  </r>
  <r>
    <s v="ORD-2025-10329"/>
    <d v="2025-05-29T00:00:00"/>
    <d v="2025-06-04T00:00:00"/>
    <n v="6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1"/>
    <s v="Unique"/>
    <n v="0"/>
    <n v="18604.079999999998"/>
    <n v="2769.7799999999988"/>
    <n v="0.1488802456235406"/>
    <x v="4"/>
    <x v="1"/>
    <s v="Clean"/>
    <s v="Match"/>
    <s v="Match"/>
  </r>
  <r>
    <s v="ORD-2025-10330"/>
    <d v="2025-05-12T00:00:00"/>
    <d v="2025-05-18T00:00:00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1"/>
    <s v="Unique"/>
    <n v="0.05"/>
    <n v="15401.513999999999"/>
    <n v="6751.0939999999991"/>
    <n v="0.43833963336331738"/>
    <x v="4"/>
    <x v="1"/>
    <s v="Clean"/>
    <s v="Match"/>
    <s v="Match"/>
  </r>
  <r>
    <s v="ORD-2024-10331"/>
    <d v="2024-05-16T00:00:00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1"/>
    <s v="Unique"/>
    <n v="0"/>
    <n v="783.09"/>
    <n v="279.20000000000005"/>
    <n v="0.3565362857398256"/>
    <x v="4"/>
    <x v="0"/>
    <s v="Clean"/>
    <s v="Match"/>
    <s v="Match"/>
  </r>
  <r>
    <s v="ORD-2024-10332"/>
    <d v="2024-12-04T00:00:0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2"/>
    <s v="Review Required"/>
    <n v="0"/>
    <n v="10742.64"/>
    <n v="4265.2699999999995"/>
    <n v="0.39704113700170535"/>
    <x v="8"/>
    <x v="0"/>
    <s v="Warning"/>
    <s v="Match"/>
    <s v="Match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1"/>
    <s v="Unique"/>
    <n v="0"/>
    <n v="7823.92"/>
    <n v="1789.29"/>
    <n v="0.22869482305545047"/>
    <x v="4"/>
    <x v="1"/>
    <s v="Clean"/>
    <s v="Match"/>
    <s v="Match"/>
  </r>
  <r>
    <s v="ORD-2025-10334"/>
    <d v="2025-06-22T00:00:00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1"/>
    <s v="Unique"/>
    <n v="0"/>
    <n v="2936.1"/>
    <n v="1013"/>
    <n v="0.34501549674738602"/>
    <x v="2"/>
    <x v="1"/>
    <s v="Clean"/>
    <s v="Match"/>
    <s v="Match"/>
  </r>
  <r>
    <s v="ORD-2024-10335"/>
    <d v="2024-09-12T00:00:00"/>
    <d v="2024-09-17T00:00:00"/>
    <n v="5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n v="1"/>
    <s v="Unique"/>
    <n v="0.25"/>
    <n v="12969.922500000001"/>
    <n v="3571.4625000000015"/>
    <n v="0.27536498386941027"/>
    <x v="7"/>
    <x v="0"/>
    <s v="Clean"/>
    <s v="Match"/>
    <s v="Match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2"/>
    <s v="Review Required"/>
    <n v="0.1"/>
    <n v="11581.299000000001"/>
    <n v="4751.8690000000006"/>
    <n v="0.41030535521101735"/>
    <x v="2"/>
    <x v="1"/>
    <s v="Warning"/>
    <s v="Match"/>
    <s v="Match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1"/>
    <s v="Unique"/>
    <n v="0"/>
    <n v="15940.56"/>
    <n v="3593.41"/>
    <n v="0.2254255810335396"/>
    <x v="11"/>
    <x v="0"/>
    <s v="Clean"/>
    <s v="Match"/>
    <s v="Match"/>
  </r>
  <r>
    <s v="ORD-2024-10338"/>
    <d v="2024-08-12T00:00:00"/>
    <d v="2024-08-18T00:00:00"/>
    <n v="6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1"/>
    <s v="Unique"/>
    <n v="0"/>
    <n v="7090.4400000000005"/>
    <n v="1418.17"/>
    <n v="0.20001156486762456"/>
    <x v="1"/>
    <x v="0"/>
    <s v="Clean"/>
    <s v="Match"/>
    <s v="Mismatch"/>
  </r>
  <r>
    <s v="ORD-2024-10339"/>
    <d v="2024-12-08T00:00:00"/>
    <d v="2024-12-08T00:00:00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1"/>
    <s v="Unique"/>
    <n v="0.25"/>
    <n v="26414.159999999996"/>
    <n v="4591.6299999999974"/>
    <n v="0.17383214154832097"/>
    <x v="8"/>
    <x v="0"/>
    <s v="Clean"/>
    <s v="Match"/>
    <s v="Match"/>
  </r>
  <r>
    <s v="ORD-2025-10340"/>
    <d v="2025-02-20T00:00:00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n v="1"/>
    <s v="Unique"/>
    <n v="0.2"/>
    <n v="20900.864000000001"/>
    <n v="8387.724000000002"/>
    <n v="0.40130991714026759"/>
    <x v="6"/>
    <x v="1"/>
    <s v="Clean"/>
    <s v="Match"/>
    <s v="Match"/>
  </r>
  <r>
    <s v="ORD-2024-10341"/>
    <d v="2024-01-21T00:00:00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1"/>
    <s v="Unique"/>
    <n v="0.1"/>
    <n v="18261.36"/>
    <n v="6861.42"/>
    <n v="0.3757343374206521"/>
    <x v="10"/>
    <x v="0"/>
    <s v="Clean"/>
    <s v="Match"/>
    <s v="Match"/>
  </r>
  <r>
    <s v="ORD-2025-10342"/>
    <d v="2025-09-08T00:00:00"/>
    <d v="2025-09-09T00:00:00"/>
    <n v="1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1"/>
    <s v="Unique"/>
    <n v="0.05"/>
    <n v="7524.6269999999995"/>
    <n v="1295.0269999999991"/>
    <n v="0.17210514222166751"/>
    <x v="7"/>
    <x v="1"/>
    <s v="Clean"/>
    <s v="Match"/>
    <s v="Match"/>
  </r>
  <r>
    <s v="ORD-2025-10343"/>
    <d v="2025-07-24T00:00:00"/>
    <d v="2025-08-01T00:00:00"/>
    <n v="8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n v="1"/>
    <s v="Unique"/>
    <n v="0"/>
    <n v="12231.36"/>
    <n v="3464.4600000000009"/>
    <n v="0.28324405462679547"/>
    <x v="0"/>
    <x v="1"/>
    <s v="Clean"/>
    <s v="Match"/>
    <s v="Match"/>
  </r>
  <r>
    <s v="ORD-2025-10344"/>
    <d v="2025-10-03T00:00:00"/>
    <d v="2025-10-08T00:00:00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1"/>
    <s v="Unique"/>
    <n v="0.1"/>
    <n v="31079.7"/>
    <n v="13321.45"/>
    <n v="0.4286222196481948"/>
    <x v="9"/>
    <x v="1"/>
    <s v="Clean"/>
    <s v="Match"/>
    <s v="Match"/>
  </r>
  <r>
    <s v="ORD-2024-10345"/>
    <d v="2024-03-11T00:00:00"/>
    <d v="2024-03-11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1"/>
    <s v="Unique"/>
    <n v="0"/>
    <n v="31107.420000000002"/>
    <n v="10960.760000000002"/>
    <n v="0.3523519468988428"/>
    <x v="11"/>
    <x v="0"/>
    <s v="Clean"/>
    <s v="Match"/>
    <s v="Match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1"/>
    <s v="Unique"/>
    <n v="0"/>
    <n v="5530.6"/>
    <n v="1077.4900000000007"/>
    <n v="0.19482334647235391"/>
    <x v="7"/>
    <x v="0"/>
    <s v="Clean"/>
    <s v="Match"/>
    <s v="Match"/>
  </r>
  <r>
    <s v="ORD-2025-10347"/>
    <d v="2025-07-22T00:00:00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n v="1"/>
    <s v="Unique"/>
    <n v="0.2"/>
    <n v="7715.8080000000009"/>
    <n v="3457.3880000000008"/>
    <n v="0.4480915025360922"/>
    <x v="0"/>
    <x v="1"/>
    <s v="Clean"/>
    <s v="Match"/>
    <s v="Match"/>
  </r>
  <r>
    <s v="ORD-2024-10348"/>
    <d v="2024-12-01T00:00:00"/>
    <d v="2024-12-08T00:00:00"/>
    <n v="7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1"/>
    <s v="Unique"/>
    <n v="0.2"/>
    <n v="11925.96"/>
    <n v="1822.4499999999989"/>
    <n v="0.15281369382422874"/>
    <x v="8"/>
    <x v="0"/>
    <s v="Clean"/>
    <s v="Match"/>
    <s v="Match"/>
  </r>
  <r>
    <s v="ORD-2024-10349"/>
    <d v="2024-06-02T00:00:00"/>
    <d v="2024-06-07T00:00:00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1"/>
    <s v="Unique"/>
    <n v="0.25"/>
    <n v="19306.755000000005"/>
    <n v="4864.3750000000055"/>
    <n v="0.25195197225012717"/>
    <x v="2"/>
    <x v="0"/>
    <s v="Clean"/>
    <s v="Match"/>
    <s v="Match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1"/>
    <s v="Unique"/>
    <n v="0.25"/>
    <n v="19355.962500000001"/>
    <n v="4343.5125000000007"/>
    <n v="0.22440178317146461"/>
    <x v="7"/>
    <x v="1"/>
    <s v="Clean"/>
    <s v="Match"/>
    <s v="Mismatch"/>
  </r>
  <r>
    <s v="ORD-2024-10351"/>
    <d v="2024-01-07T00:00:00"/>
    <d v="2024-01-14T00:00:00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1"/>
    <s v="Unique"/>
    <n v="0.1"/>
    <n v="11914.344000000001"/>
    <n v="2143.1040000000012"/>
    <n v="0.17987595456367561"/>
    <x v="10"/>
    <x v="0"/>
    <s v="Clean"/>
    <s v="Match"/>
    <s v="Match"/>
  </r>
  <r>
    <s v="ORD-2025-10352"/>
    <d v="2025-05-23T00:00:00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n v="1"/>
    <s v="Unique"/>
    <n v="0.25"/>
    <n v="3237.4800000000005"/>
    <n v="1119.1400000000003"/>
    <n v="0.34568244437031276"/>
    <x v="4"/>
    <x v="1"/>
    <s v="Clean"/>
    <s v="Match"/>
    <s v="Match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1"/>
    <s v="Unique"/>
    <n v="0.25"/>
    <n v="10734.75"/>
    <n v="4259.0200000000004"/>
    <n v="0.39675073942103917"/>
    <x v="1"/>
    <x v="1"/>
    <s v="Clean"/>
    <s v="Match"/>
    <s v="Match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1"/>
    <s v="Unique"/>
    <n v="0.2"/>
    <n v="10308.024000000001"/>
    <n v="4485.7140000000009"/>
    <n v="0.4351672056642476"/>
    <x v="6"/>
    <x v="1"/>
    <s v="Clean"/>
    <s v="Match"/>
    <s v="Match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1"/>
    <s v="Unique"/>
    <n v="-0.06"/>
    <n v="21285.520800000002"/>
    <n v="8376.6808000000019"/>
    <n v="0.39353891683965753"/>
    <x v="8"/>
    <x v="0"/>
    <s v="Invalid"/>
    <s v="Mismatch"/>
    <s v="Mismatch"/>
  </r>
  <r>
    <s v="ORD-2024-10356"/>
    <d v="2024-05-12T00:00:00"/>
    <d v="2024-05-09T00:00:00"/>
    <n v="-3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1"/>
    <s v="Unique"/>
    <n v="0"/>
    <n v="16017.4"/>
    <n v="6459.6"/>
    <n v="0.40328642601171227"/>
    <x v="4"/>
    <x v="0"/>
    <s v="Invalid"/>
    <s v="Match"/>
    <s v="Match"/>
  </r>
  <r>
    <s v="ORD-2025-10357"/>
    <d v="2025-06-27T00:00:00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1"/>
    <s v="Unique"/>
    <n v="0.2"/>
    <n v="2486.8000000000002"/>
    <n v="355.07000000000016"/>
    <n v="0.1427818883705968"/>
    <x v="2"/>
    <x v="1"/>
    <s v="Clean"/>
    <s v="Match"/>
    <s v="Match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1"/>
    <s v="Unique"/>
    <n v="0"/>
    <n v="4369.04"/>
    <n v="652.15999999999985"/>
    <n v="0.14926848918755603"/>
    <x v="10"/>
    <x v="1"/>
    <s v="Clean"/>
    <s v="Match"/>
    <s v="Match"/>
  </r>
  <r>
    <s v="ORD-2025-10359"/>
    <d v="2025-08-09T00:00:00"/>
    <d v="2025-08-07T00:00:00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1"/>
    <s v="Unique"/>
    <n v="0.05"/>
    <n v="5956.12"/>
    <n v="1576.9399999999996"/>
    <n v="0.26475960860425907"/>
    <x v="1"/>
    <x v="1"/>
    <s v="Invalid"/>
    <s v="Match"/>
    <s v="Match"/>
  </r>
  <r>
    <s v="ORD-2024-10360"/>
    <d v="2024-08-21T00:00:00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n v="1"/>
    <s v="Unique"/>
    <n v="0.1"/>
    <n v="4997.3760000000002"/>
    <n v="2025.9860000000003"/>
    <n v="0.40540995914656014"/>
    <x v="1"/>
    <x v="0"/>
    <s v="Clean"/>
    <s v="Match"/>
    <s v="Match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1"/>
    <s v="Unique"/>
    <n v="0.2"/>
    <n v="17669.400000000001"/>
    <n v="3950.630000000001"/>
    <n v="0.2235859734908939"/>
    <x v="2"/>
    <x v="0"/>
    <s v="Clean"/>
    <s v="Match"/>
    <s v="Match"/>
  </r>
  <r>
    <s v="ORD-2025-10362"/>
    <d v="2025-04-01T00:00:00"/>
    <d v="2025-04-02T00:00:00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1"/>
    <s v="Unique"/>
    <n v="0.05"/>
    <n v="35615.709000000003"/>
    <n v="15225.999000000003"/>
    <n v="0.42750795723314122"/>
    <x v="5"/>
    <x v="1"/>
    <s v="Clean"/>
    <s v="Match"/>
    <s v="Match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1"/>
    <s v="Unique"/>
    <n v="0.05"/>
    <n v="1866.4079999999999"/>
    <n v="289.91799999999989"/>
    <n v="0.15533473924243782"/>
    <x v="1"/>
    <x v="0"/>
    <s v="Clean"/>
    <s v="Match"/>
    <s v="Match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1"/>
    <s v="Unique"/>
    <n v="0.25"/>
    <n v="6867.6374999999989"/>
    <n v="1662.2774999999992"/>
    <n v="0.24204502640100028"/>
    <x v="0"/>
    <x v="1"/>
    <s v="Clean"/>
    <s v="Match"/>
    <s v="Match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1"/>
    <s v="Unique"/>
    <n v="0"/>
    <n v="6195.75"/>
    <n v="2228.73"/>
    <n v="0.35971916232901585"/>
    <x v="11"/>
    <x v="1"/>
    <s v="Clean"/>
    <s v="Match"/>
    <s v="Match"/>
  </r>
  <r>
    <s v="ORD-2024-10366"/>
    <d v="2024-06-15T00:00:00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n v="1"/>
    <s v="Unique"/>
    <n v="0"/>
    <n v="13651.2"/>
    <n v="3531.59"/>
    <n v="0.2587017991092358"/>
    <x v="2"/>
    <x v="0"/>
    <s v="Clean"/>
    <s v="Mismatch"/>
    <s v="Mismatch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1"/>
    <s v="Unique"/>
    <n v="0"/>
    <n v="8836.56"/>
    <n v="2968.8099999999995"/>
    <n v="0.33596897435201023"/>
    <x v="10"/>
    <x v="1"/>
    <s v="Clean"/>
    <s v="Match"/>
    <s v="Match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1"/>
    <s v="Unique"/>
    <n v="0.15"/>
    <n v="19456.958999999999"/>
    <n v="4936.8989999999994"/>
    <n v="0.25373435797443988"/>
    <x v="11"/>
    <x v="0"/>
    <s v="Clean"/>
    <s v="Match"/>
    <s v="Match"/>
  </r>
  <r>
    <s v="ORD-2025-10369"/>
    <d v="2025-07-06T00:00:00"/>
    <d v="2025-07-06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1"/>
    <s v="Unique"/>
    <n v="0.05"/>
    <n v="2079.2745"/>
    <n v="567.10449999999992"/>
    <n v="0.27274152595051782"/>
    <x v="0"/>
    <x v="1"/>
    <s v="Clean"/>
    <s v="Match"/>
    <s v="Match"/>
  </r>
  <r>
    <s v="ORD-2025-10370"/>
    <d v="2025-01-23T00:00:00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n v="1"/>
    <s v="Unique"/>
    <n v="0.15"/>
    <n v="8945.6804999999986"/>
    <n v="2205.3304999999982"/>
    <n v="0.24652462157574245"/>
    <x v="10"/>
    <x v="1"/>
    <s v="Clean"/>
    <s v="Match"/>
    <s v="Match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1"/>
    <s v="Unique"/>
    <n v="0.2"/>
    <n v="13069.336000000001"/>
    <n v="4300.746000000001"/>
    <n v="0.32907149988339124"/>
    <x v="1"/>
    <x v="0"/>
    <s v="Clean"/>
    <s v="Match"/>
    <s v="Match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n v="1"/>
    <s v="Unique"/>
    <n v="0"/>
    <n v="6156.36"/>
    <n v="3174.4199999999996"/>
    <n v="0.51563261407714944"/>
    <x v="10"/>
    <x v="0"/>
    <s v="Clean"/>
    <s v="Mismatch"/>
    <s v="Mismatch"/>
  </r>
  <r>
    <s v="ORD-2025-10373"/>
    <d v="2025-08-16T00:00:00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1"/>
    <s v="Unique"/>
    <n v="0"/>
    <n v="7651.7999999999993"/>
    <n v="2480.0199999999995"/>
    <n v="0.32410935988917638"/>
    <x v="1"/>
    <x v="1"/>
    <s v="Clean"/>
    <s v="Match"/>
    <s v="Match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2"/>
    <s v="Review Required"/>
    <n v="0"/>
    <n v="10068.120000000001"/>
    <n v="1472.75"/>
    <n v="0.14627855051389932"/>
    <x v="5"/>
    <x v="1"/>
    <s v="Warning"/>
    <s v="Match"/>
    <s v="Match"/>
  </r>
  <r>
    <s v="ORD-2025-10375"/>
    <d v="2025-02-27T00:00:00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n v="1"/>
    <s v="Unique"/>
    <n v="0"/>
    <n v="14359.5"/>
    <n v="6241.79"/>
    <n v="0.43468017688638183"/>
    <x v="6"/>
    <x v="1"/>
    <s v="Clean"/>
    <s v="Match"/>
    <s v="Match"/>
  </r>
  <r>
    <s v="ORD-2024-10376"/>
    <d v="2024-12-31T00:00:00"/>
    <d v="2025-01-04T00:00:00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n v="1"/>
    <s v="Unique"/>
    <n v="0.25"/>
    <n v="2624.8724999999999"/>
    <n v="370.99249999999984"/>
    <n v="0.14133734114704613"/>
    <x v="8"/>
    <x v="0"/>
    <s v="Clean"/>
    <s v="Match"/>
    <s v="Match"/>
  </r>
  <r>
    <s v="ORD-2024-10377"/>
    <d v="2024-12-29T00:00:00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n v="1"/>
    <s v="Unique"/>
    <n v="0.2"/>
    <n v="8854.9440000000013"/>
    <n v="1420.9940000000015"/>
    <n v="0.1604746455765278"/>
    <x v="8"/>
    <x v="0"/>
    <s v="Clean"/>
    <s v="Match"/>
    <s v="Match"/>
  </r>
  <r>
    <s v="ORD-2025-10378"/>
    <d v="2025-05-24T00:00:00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n v="1"/>
    <s v="Unique"/>
    <n v="0"/>
    <n v="2564.7399999999998"/>
    <n v="810.15999999999985"/>
    <n v="0.31588387126960232"/>
    <x v="4"/>
    <x v="1"/>
    <s v="Clean"/>
    <s v="Match"/>
    <s v="Match"/>
  </r>
  <r>
    <s v="ORD-2025-10379"/>
    <d v="2025-05-22T00:00:00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n v="1"/>
    <s v="Unique"/>
    <n v="0"/>
    <n v="7821.22"/>
    <n v="2826.76"/>
    <n v="0.36142187535959863"/>
    <x v="4"/>
    <x v="1"/>
    <s v="Clean"/>
    <s v="Match"/>
    <s v="Match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1"/>
    <s v="Unique"/>
    <n v="0"/>
    <n v="7956.76"/>
    <n v="3157.2200000000003"/>
    <n v="0.39679718880549369"/>
    <x v="7"/>
    <x v="0"/>
    <s v="Clean"/>
    <s v="Match"/>
    <s v="Match"/>
  </r>
  <r>
    <s v="ORD-2024-10381"/>
    <d v="2024-04-07T00:00:00"/>
    <d v="2024-04-14T00:00:00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n v="1"/>
    <s v="Unique"/>
    <n v="0.25"/>
    <n v="8384.4375"/>
    <n v="3618.4775"/>
    <n v="0.43157069272685256"/>
    <x v="5"/>
    <x v="0"/>
    <s v="Clean"/>
    <s v="Match"/>
    <s v="Match"/>
  </r>
  <r>
    <s v="ORD-2025-10382"/>
    <d v="2025-09-19T00:00:00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n v="1"/>
    <s v="Unique"/>
    <n v="0.05"/>
    <n v="16671.169999999998"/>
    <n v="5837.9799999999977"/>
    <n v="0.35018418023450054"/>
    <x v="7"/>
    <x v="1"/>
    <s v="Clean"/>
    <s v="Match"/>
    <s v="Match"/>
  </r>
  <r>
    <s v="ORD-2025-10383"/>
    <d v="2025-03-04T00:00:00"/>
    <d v="2025-03-08T00:00:00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1"/>
    <s v="Unique"/>
    <n v="0.2"/>
    <n v="10468.440000000002"/>
    <n v="2068.5700000000015"/>
    <n v="0.19760059760575607"/>
    <x v="11"/>
    <x v="1"/>
    <s v="Clean"/>
    <s v="Match"/>
    <s v="Match"/>
  </r>
  <r>
    <s v="ORD-2025-10384"/>
    <d v="2025-06-28T00:00:00"/>
    <d v="2025-07-05T00:00:00"/>
    <n v="7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1"/>
    <s v="Unique"/>
    <n v="0"/>
    <n v="4485.5"/>
    <n v="1353.6399999999999"/>
    <n v="0.30178129528480657"/>
    <x v="2"/>
    <x v="1"/>
    <s v="Clean"/>
    <s v="Match"/>
    <s v="Match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n v="1"/>
    <s v="Unique"/>
    <n v="0.25"/>
    <n v="2822.1000000000004"/>
    <n v="1197.5300000000004"/>
    <n v="0.42434003047376079"/>
    <x v="11"/>
    <x v="0"/>
    <s v="Clean"/>
    <s v="Match"/>
    <s v="Match"/>
  </r>
  <r>
    <s v="ORD-2025-10386"/>
    <d v="2025-06-24T00:00:00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1"/>
    <s v="Unique"/>
    <n v="0.1"/>
    <n v="1975.104"/>
    <n v="859.75400000000013"/>
    <n v="0.4352955591199249"/>
    <x v="2"/>
    <x v="1"/>
    <s v="Clean"/>
    <s v="Match"/>
    <s v="Match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1"/>
    <s v="Unique"/>
    <n v="0.1"/>
    <n v="20063.952000000001"/>
    <n v="5700.5720000000019"/>
    <n v="0.2841200975759911"/>
    <x v="6"/>
    <x v="1"/>
    <s v="Clean"/>
    <s v="Match"/>
    <s v="Match"/>
  </r>
  <r>
    <s v="ORD-2025-10388"/>
    <d v="2025-08-10T00:00:00"/>
    <d v="2025-08-13T00:00:00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1"/>
    <s v="Unique"/>
    <n v="0"/>
    <n v="1764.3000000000002"/>
    <n v="431.81000000000017"/>
    <n v="0.24474862551720236"/>
    <x v="1"/>
    <x v="1"/>
    <s v="Clean"/>
    <s v="Match"/>
    <s v="Match"/>
  </r>
  <r>
    <s v="ORD-2024-10389"/>
    <d v="2024-05-13T00:00:00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1"/>
    <s v="Unique"/>
    <n v="0"/>
    <n v="9385.77"/>
    <n v="2513.3300000000008"/>
    <n v="0.26778090662779941"/>
    <x v="4"/>
    <x v="0"/>
    <s v="Clean"/>
    <s v="Match"/>
    <s v="Mismatch"/>
  </r>
  <r>
    <s v="ORD-2024-10390"/>
    <d v="2024-04-05T00:00:0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1"/>
    <s v="Unique"/>
    <n v="0.2"/>
    <n v="7750.1600000000008"/>
    <n v="2315.8600000000006"/>
    <n v="0.29881447608823564"/>
    <x v="5"/>
    <x v="0"/>
    <s v="Clean"/>
    <s v="Match"/>
    <s v="Match"/>
  </r>
  <r>
    <s v="ORD-2024-10391"/>
    <d v="2024-11-06T00:00:0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1"/>
    <s v="Unique"/>
    <n v="0.2"/>
    <n v="6135.232"/>
    <n v="2695.442"/>
    <n v="0.43933823529411764"/>
    <x v="3"/>
    <x v="0"/>
    <s v="Clean"/>
    <s v="Match"/>
    <s v="Match"/>
  </r>
  <r>
    <s v="ORD-2025-10392"/>
    <d v="2025-02-14T00:00:00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n v="1"/>
    <s v="Unique"/>
    <n v="0"/>
    <n v="714.43"/>
    <n v="148.9899999999999"/>
    <n v="0.20854387413742412"/>
    <x v="6"/>
    <x v="1"/>
    <s v="Clean"/>
    <s v="Match"/>
    <s v="Match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1"/>
    <s v="Unique"/>
    <n v="0"/>
    <n v="36477.090000000004"/>
    <n v="11951.610000000004"/>
    <n v="0.32764702447481425"/>
    <x v="6"/>
    <x v="0"/>
    <s v="Clean"/>
    <s v="Match"/>
    <s v="Match"/>
  </r>
  <r>
    <s v="ORD-2024-10394"/>
    <d v="2024-08-23T00:00:00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1"/>
    <s v="Unique"/>
    <n v="0.05"/>
    <n v="3680.1289999999999"/>
    <n v="712.66899999999987"/>
    <n v="0.19365326595888346"/>
    <x v="1"/>
    <x v="0"/>
    <s v="Clean"/>
    <s v="Match"/>
    <s v="Match"/>
  </r>
  <r>
    <s v="ORD-2024-10395"/>
    <d v="2024-04-03T00:00:00"/>
    <d v="2024-04-04T00:00:00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1"/>
    <s v="Unique"/>
    <n v="0"/>
    <n v="27616.47"/>
    <n v="6391.2100000000028"/>
    <n v="0.23142747787823725"/>
    <x v="5"/>
    <x v="0"/>
    <s v="Clean"/>
    <s v="Match"/>
    <s v="Match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1"/>
    <s v="Unique"/>
    <n v="0.05"/>
    <n v="5731.7014999999992"/>
    <n v="1616.1414999999988"/>
    <n v="0.28196539893084088"/>
    <x v="2"/>
    <x v="0"/>
    <s v="Clean"/>
    <s v="Match"/>
    <s v="Match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1"/>
    <s v="Unique"/>
    <n v="0.05"/>
    <n v="1213.587"/>
    <n v="257.36699999999996"/>
    <n v="0.21207132245154239"/>
    <x v="5"/>
    <x v="1"/>
    <s v="Clean"/>
    <s v="Match"/>
    <s v="Match"/>
  </r>
  <r>
    <s v="ORD-2025-10398"/>
    <d v="2025-06-09T00:00:00"/>
    <d v="2025-06-10T00:00:00"/>
    <n v="1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1"/>
    <s v="Unique"/>
    <n v="0"/>
    <n v="3463.76"/>
    <n v="1320.0200000000004"/>
    <n v="0.38109453310852959"/>
    <x v="2"/>
    <x v="1"/>
    <s v="Clean"/>
    <s v="Match"/>
    <s v="Match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1"/>
    <s v="Unique"/>
    <n v="0.2"/>
    <n v="2021.8400000000001"/>
    <n v="666.62000000000012"/>
    <n v="0.32970957147944452"/>
    <x v="0"/>
    <x v="0"/>
    <s v="Clean"/>
    <s v="Match"/>
    <s v="Match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1"/>
    <s v="Unique"/>
    <n v="0.25"/>
    <n v="3268.875"/>
    <n v="1275.135"/>
    <n v="0.39008374440747962"/>
    <x v="5"/>
    <x v="1"/>
    <s v="Clean"/>
    <s v="Match"/>
    <s v="Match"/>
  </r>
  <r>
    <s v="ORD-2025-10401"/>
    <d v="2025-06-06T00:00:00"/>
    <d v="2025-06-11T00:00:00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1"/>
    <s v="Unique"/>
    <n v="-0.1"/>
    <n v="6761.2930000000006"/>
    <n v="1883.9130000000005"/>
    <n v="0.27863206046535777"/>
    <x v="2"/>
    <x v="1"/>
    <s v="Invalid"/>
    <s v="Mismatch"/>
    <s v="Mismatch"/>
  </r>
  <r>
    <s v="ORD-2025-10402"/>
    <d v="2025-03-09T00:00:00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1"/>
    <s v="Unique"/>
    <n v="0"/>
    <n v="7877.5499999999993"/>
    <n v="2314.7799999999988"/>
    <n v="0.29384516759652418"/>
    <x v="11"/>
    <x v="1"/>
    <s v="Clean"/>
    <s v="Match"/>
    <s v="Match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1"/>
    <s v="Unique"/>
    <n v="0"/>
    <n v="4095.7799999999997"/>
    <n v="1288.0099999999998"/>
    <n v="0.31447245701673426"/>
    <x v="11"/>
    <x v="0"/>
    <s v="Clean"/>
    <s v="Match"/>
    <s v="Match"/>
  </r>
  <r>
    <s v="ORD-2024-10404"/>
    <d v="2024-09-30T00:00:00"/>
    <d v="2024-10-04T00:00:00"/>
    <n v="4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1"/>
    <s v="Unique"/>
    <n v="0.05"/>
    <n v="16683.1875"/>
    <n v="6382.0275000000001"/>
    <n v="0.38254245479168775"/>
    <x v="7"/>
    <x v="0"/>
    <s v="Clean"/>
    <s v="Match"/>
    <s v="Match"/>
  </r>
  <r>
    <s v="ORD-2024-10405"/>
    <d v="2024-01-27T00:00:00"/>
    <d v="2024-02-03T00:00:00"/>
    <n v="7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1"/>
    <s v="Unique"/>
    <n v="0"/>
    <n v="1078.83"/>
    <n v="152.4799999999999"/>
    <n v="0.14133830167867034"/>
    <x v="10"/>
    <x v="0"/>
    <s v="Clean"/>
    <s v="Match"/>
    <s v="Match"/>
  </r>
  <r>
    <s v="ORD-2024-10406"/>
    <d v="2024-09-23T00:00:00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1"/>
    <s v="Unique"/>
    <n v="0.1"/>
    <n v="24431.463"/>
    <n v="6229.1029999999992"/>
    <n v="0.25496234097810677"/>
    <x v="7"/>
    <x v="0"/>
    <s v="Clean"/>
    <s v="Match"/>
    <s v="Match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1"/>
    <s v="Unique"/>
    <n v="0.25"/>
    <n v="5886.2999999999993"/>
    <n v="2264.5399999999991"/>
    <n v="0.38471365713606159"/>
    <x v="6"/>
    <x v="1"/>
    <s v="Clean"/>
    <s v="Match"/>
    <s v="Match"/>
  </r>
  <r>
    <s v="ORD-2024-10408"/>
    <d v="2024-05-12T00:00:00"/>
    <d v="2024-05-13T00:00:00"/>
    <n v="1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1"/>
    <s v="Unique"/>
    <n v="0"/>
    <n v="7933.6500000000005"/>
    <n v="2235.2300000000005"/>
    <n v="0.2817404347305465"/>
    <x v="4"/>
    <x v="0"/>
    <s v="Clean"/>
    <s v="Match"/>
    <s v="Match"/>
  </r>
  <r>
    <s v="ORD-2025-10409"/>
    <d v="2025-08-01T00:00:00"/>
    <d v="2025-08-03T00:00:00"/>
    <n v="2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1"/>
    <s v="Unique"/>
    <n v="0"/>
    <n v="7093.84"/>
    <n v="2506.3500000000004"/>
    <n v="0.35331357910525191"/>
    <x v="1"/>
    <x v="1"/>
    <s v="Clean"/>
    <s v="Match"/>
    <s v="Match"/>
  </r>
  <r>
    <s v="ORD-2025-10410"/>
    <d v="2025-02-13T00:00:00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n v="1"/>
    <s v="Unique"/>
    <n v="0.25"/>
    <n v="2269.0950000000003"/>
    <n v="675.50500000000034"/>
    <n v="0.29769798091309541"/>
    <x v="6"/>
    <x v="1"/>
    <s v="Clean"/>
    <s v="Match"/>
    <s v="Match"/>
  </r>
  <r>
    <s v="ORD-2024-10411"/>
    <d v="2024-04-12T00:00:0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1"/>
    <s v="Unique"/>
    <n v="0.2"/>
    <n v="9378.7919999999995"/>
    <n v="2604.3119999999999"/>
    <n v="0.27768096360384154"/>
    <x v="5"/>
    <x v="0"/>
    <s v="Clean"/>
    <s v="Match"/>
    <s v="Match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1"/>
    <s v="Unique"/>
    <n v="0.2"/>
    <n v="3334.2480000000005"/>
    <n v="565.47800000000052"/>
    <n v="0.16959686262089696"/>
    <x v="1"/>
    <x v="1"/>
    <s v="Clean"/>
    <s v="Match"/>
    <s v="Match"/>
  </r>
  <r>
    <s v="ORD-2024-10413"/>
    <d v="2024-01-22T00:00:00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n v="1"/>
    <s v="Unique"/>
    <n v="0.25"/>
    <n v="1583.5425"/>
    <n v="569.35249999999996"/>
    <n v="0.35954355503562424"/>
    <x v="10"/>
    <x v="0"/>
    <s v="Clean"/>
    <s v="Match"/>
    <s v="Match"/>
  </r>
  <r>
    <s v="ORD-2025-10414"/>
    <d v="2025-08-13T00:00:00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n v="1"/>
    <s v="Unique"/>
    <n v="0"/>
    <n v="15345.84"/>
    <n v="4610.51"/>
    <n v="0.30044037993358463"/>
    <x v="1"/>
    <x v="1"/>
    <s v="Clean"/>
    <s v="Match"/>
    <s v="Match"/>
  </r>
  <r>
    <s v="ORD-2024-10415"/>
    <d v="2024-08-29T00:00:00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1"/>
    <s v="Unique"/>
    <n v="0.05"/>
    <n v="9439.503999999999"/>
    <n v="3920.1139999999987"/>
    <n v="0.41528813378330037"/>
    <x v="1"/>
    <x v="0"/>
    <s v="Clean"/>
    <s v="Match"/>
    <s v="Match"/>
  </r>
  <r>
    <s v="ORD-2024-10416"/>
    <d v="2024-01-25T00:00:00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1"/>
    <s v="Unique"/>
    <n v="0.15"/>
    <n v="10277.197"/>
    <n v="2370.6970000000001"/>
    <n v="0.23067544584384245"/>
    <x v="10"/>
    <x v="0"/>
    <s v="Clean"/>
    <s v="Match"/>
    <s v="Match"/>
  </r>
  <r>
    <s v="ORD-2025-10417"/>
    <d v="2025-01-08T00:00:00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1"/>
    <s v="Unique"/>
    <n v="0.25"/>
    <n v="3833.7000000000003"/>
    <n v="947.35000000000036"/>
    <n v="0.24711114589039318"/>
    <x v="10"/>
    <x v="1"/>
    <s v="Clean"/>
    <s v="Match"/>
    <s v="Match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1"/>
    <s v="Unique"/>
    <n v="0.2"/>
    <n v="18542.400000000001"/>
    <n v="7348.6500000000015"/>
    <n v="0.39631601087237905"/>
    <x v="10"/>
    <x v="1"/>
    <s v="Clean"/>
    <s v="Match"/>
    <s v="Match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1"/>
    <s v="Unique"/>
    <n v="0"/>
    <n v="21962.400000000001"/>
    <n v="6630.4100000000017"/>
    <n v="0.3018982442720286"/>
    <x v="3"/>
    <x v="0"/>
    <s v="Clean"/>
    <s v="Match"/>
    <s v="Match"/>
  </r>
  <r>
    <s v="ORD-2025-10420"/>
    <d v="2025-09-26T00:00:00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n v="1"/>
    <s v="Unique"/>
    <n v="0.05"/>
    <n v="1308.777"/>
    <n v="465.77700000000004"/>
    <n v="0.35588721378813964"/>
    <x v="7"/>
    <x v="1"/>
    <s v="Clean"/>
    <s v="Match"/>
    <s v="Match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n v="1"/>
    <s v="Unique"/>
    <n v="0.25"/>
    <n v="1814.9850000000001"/>
    <n v="694.92500000000018"/>
    <n v="0.38288195219244242"/>
    <x v="11"/>
    <x v="1"/>
    <s v="Clean"/>
    <s v="Match"/>
    <s v="Match"/>
  </r>
  <r>
    <s v="ORD-2025-10422"/>
    <d v="2025-06-14T00:00:00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1"/>
    <s v="Unique"/>
    <n v="0.2"/>
    <n v="2489.8800000000006"/>
    <n v="782.36000000000058"/>
    <n v="0.31421594615001541"/>
    <x v="2"/>
    <x v="1"/>
    <s v="Clean"/>
    <s v="Match"/>
    <s v="Match"/>
  </r>
  <r>
    <s v="ORD-2025-10423"/>
    <d v="2025-09-03T00:00:00"/>
    <d v="2025-09-06T00:00:00"/>
    <n v="3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1"/>
    <s v="Unique"/>
    <n v="0.15"/>
    <n v="4098.6574999999993"/>
    <n v="1420.5974999999994"/>
    <n v="0.34660068571233377"/>
    <x v="7"/>
    <x v="1"/>
    <s v="Clean"/>
    <s v="Match"/>
    <s v="Match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n v="2"/>
    <s v="Review Required"/>
    <n v="0.2"/>
    <n v="27211.032000000003"/>
    <n v="9270.6020000000026"/>
    <n v="0.34069277490100347"/>
    <x v="6"/>
    <x v="0"/>
    <s v="Warning"/>
    <s v="Match"/>
    <s v="Match"/>
  </r>
  <r>
    <s v="ORD-2024-10425"/>
    <d v="2024-06-26T00:00:00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1"/>
    <s v="Unique"/>
    <n v="0"/>
    <n v="6436.16"/>
    <n v="2172.33"/>
    <n v="0.33751957689056827"/>
    <x v="2"/>
    <x v="0"/>
    <s v="Clean"/>
    <s v="Match"/>
    <s v="Match"/>
  </r>
  <r>
    <s v="ORD-2024-10426"/>
    <d v="2024-09-26T00:00:00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n v="1"/>
    <s v="Unique"/>
    <n v="0.1"/>
    <n v="1918.2420000000002"/>
    <n v="544.72200000000021"/>
    <n v="0.2839693844676533"/>
    <x v="7"/>
    <x v="0"/>
    <s v="Clean"/>
    <s v="Match"/>
    <s v="Match"/>
  </r>
  <r>
    <s v="ORD-2024-10427"/>
    <d v="2024-06-30T00:00:00"/>
    <d v="2024-07-01T00:00:00"/>
    <n v="1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1"/>
    <s v="Unique"/>
    <n v="0.1"/>
    <n v="27047.952000000001"/>
    <n v="8616.6219999999994"/>
    <n v="0.31856837072174626"/>
    <x v="2"/>
    <x v="0"/>
    <s v="Clean"/>
    <s v="Match"/>
    <s v="Match"/>
  </r>
  <r>
    <s v="ORD-2025-10428"/>
    <d v="2025-04-22T00:00:00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n v="1"/>
    <s v="Unique"/>
    <n v="0"/>
    <n v="26454.959999999999"/>
    <n v="8824.7099999999991"/>
    <n v="0.33357487594008833"/>
    <x v="5"/>
    <x v="1"/>
    <s v="Clean"/>
    <s v="Match"/>
    <s v="Match"/>
  </r>
  <r>
    <s v="ORD-2025-10429"/>
    <d v="2025-03-15T00:00:00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1"/>
    <s v="Unique"/>
    <n v="0.25"/>
    <n v="1853.895"/>
    <n v="752.66499999999996"/>
    <n v="0.40599116994220275"/>
    <x v="11"/>
    <x v="1"/>
    <s v="Clean"/>
    <s v="Match"/>
    <s v="Match"/>
  </r>
  <r>
    <s v="ORD-2025-10430"/>
    <d v="2025-03-01T00:00:00"/>
    <d v="2025-03-08T00:00:00"/>
    <n v="7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1"/>
    <s v="Unique"/>
    <n v="0.25"/>
    <n v="17658.599999999999"/>
    <n v="3816.119999999999"/>
    <n v="0.2161054670245659"/>
    <x v="11"/>
    <x v="1"/>
    <s v="Clean"/>
    <s v="Match"/>
    <s v="Match"/>
  </r>
  <r>
    <s v="ORD-2024-10431"/>
    <d v="2024-08-30T00:00:00"/>
    <d v="2024-09-02T00:00:00"/>
    <n v="3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1"/>
    <s v="Unique"/>
    <n v="0.15"/>
    <n v="3672.7139999999999"/>
    <n v="958.48399999999992"/>
    <n v="0.26097430946161337"/>
    <x v="1"/>
    <x v="0"/>
    <s v="Clean"/>
    <s v="Match"/>
    <s v="Mismatch"/>
  </r>
  <r>
    <s v="ORD-2024-10432"/>
    <d v="2024-02-10T00:00:0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1"/>
    <s v="Unique"/>
    <n v="0.25"/>
    <n v="6177.6749999999993"/>
    <n v="1656.9249999999993"/>
    <n v="0.26821174632851347"/>
    <x v="6"/>
    <x v="0"/>
    <s v="Clean"/>
    <s v="Match"/>
    <s v="Match"/>
  </r>
  <r>
    <s v="ORD-2024-10433"/>
    <d v="2024-08-29T00:00:00"/>
    <d v="2024-09-02T00:00:00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1"/>
    <s v="Unique"/>
    <n v="0.05"/>
    <n v="985.07400000000007"/>
    <n v="140.59400000000005"/>
    <n v="0.14272430294576857"/>
    <x v="1"/>
    <x v="0"/>
    <s v="Clean"/>
    <s v="Match"/>
    <s v="Match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n v="1"/>
    <s v="Unique"/>
    <n v="0"/>
    <n v="6160.88"/>
    <n v="1222.1800000000003"/>
    <n v="0.19837750451234243"/>
    <x v="5"/>
    <x v="0"/>
    <s v="Clean"/>
    <s v="Match"/>
    <s v="Match"/>
  </r>
  <r>
    <s v="ORD-2025-10435"/>
    <d v="2025-04-11T00:00:00"/>
    <d v="2025-04-15T00:00:00"/>
    <n v="4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1"/>
    <s v="Unique"/>
    <n v="0"/>
    <n v="3263.8999999999996"/>
    <n v="1195.4599999999996"/>
    <n v="0.3662673488771101"/>
    <x v="5"/>
    <x v="1"/>
    <s v="Clean"/>
    <s v="Match"/>
    <s v="Match"/>
  </r>
  <r>
    <s v="ORD-2025-10436"/>
    <d v="2025-04-12T00:00:00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n v="1"/>
    <s v="Unique"/>
    <n v="0.15"/>
    <n v="2327.0535"/>
    <n v="407.63349999999991"/>
    <n v="0.17517152055163318"/>
    <x v="5"/>
    <x v="1"/>
    <s v="Clean"/>
    <s v="Match"/>
    <s v="Match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1"/>
    <s v="Unique"/>
    <n v="0.05"/>
    <n v="6593.6459999999997"/>
    <n v="2234.2559999999994"/>
    <n v="0.33884985636171544"/>
    <x v="2"/>
    <x v="0"/>
    <s v="Clean"/>
    <s v="Match"/>
    <s v="Match"/>
  </r>
  <r>
    <s v="ORD-2024-10438"/>
    <d v="2024-02-15T00:00:00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n v="1"/>
    <s v="Unique"/>
    <n v="0.05"/>
    <n v="2886.6319999999996"/>
    <n v="1298.4019999999996"/>
    <n v="0.44979824238073984"/>
    <x v="6"/>
    <x v="0"/>
    <s v="Clean"/>
    <s v="Match"/>
    <s v="Match"/>
  </r>
  <r>
    <s v="ORD-2025-10439"/>
    <d v="2025-05-07T00:00:00"/>
    <d v="2025-05-05T00:00:00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1"/>
    <s v="Unique"/>
    <n v="0.2"/>
    <n v="1813.1759999999999"/>
    <n v="449.53599999999983"/>
    <n v="0.24792739370033567"/>
    <x v="4"/>
    <x v="1"/>
    <s v="Invalid"/>
    <s v="Match"/>
    <s v="Match"/>
  </r>
  <r>
    <s v="ORD-2025-10440"/>
    <d v="2025-06-30T00:00:00"/>
    <d v="2025-07-03T00:00:00"/>
    <n v="3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n v="1"/>
    <s v="Unique"/>
    <n v="0"/>
    <n v="3326.25"/>
    <n v="636.88999999999987"/>
    <n v="0.19147388199924836"/>
    <x v="2"/>
    <x v="1"/>
    <s v="Clean"/>
    <s v="Match"/>
    <s v="Match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1"/>
    <s v="Unique"/>
    <n v="0.2"/>
    <n v="17869.632000000001"/>
    <n v="5705.8320000000022"/>
    <n v="0.31930327384469931"/>
    <x v="5"/>
    <x v="0"/>
    <s v="Clean"/>
    <s v="Match"/>
    <s v="Match"/>
  </r>
  <r>
    <s v="ORD-2024-10442"/>
    <d v="2024-10-03T00:00:00"/>
    <d v="2024-10-03T00:00:00"/>
    <n v="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1"/>
    <s v="Unique"/>
    <n v="0"/>
    <n v="25304.94"/>
    <n v="4532.989999999998"/>
    <n v="0.17913458795002077"/>
    <x v="9"/>
    <x v="0"/>
    <s v="Clean"/>
    <s v="Match"/>
    <s v="Match"/>
  </r>
  <r>
    <s v="ORD-2025-10443"/>
    <d v="2025-01-12T00:00:00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1"/>
    <s v="Unique"/>
    <n v="0"/>
    <n v="1842.31"/>
    <n v="823.14"/>
    <n v="0.44679777019068451"/>
    <x v="10"/>
    <x v="1"/>
    <s v="Clean"/>
    <s v="Match"/>
    <s v="Match"/>
  </r>
  <r>
    <s v="ORD-2024-10444"/>
    <d v="2024-04-04T00:00:00"/>
    <d v="2024-04-07T00:00:00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1"/>
    <s v="Unique"/>
    <n v="0.1"/>
    <n v="3315.375"/>
    <n v="967.69500000000016"/>
    <n v="0.29188100893564084"/>
    <x v="5"/>
    <x v="0"/>
    <s v="Clean"/>
    <s v="Match"/>
    <s v="Match"/>
  </r>
  <r>
    <s v="ORD-2025-10445"/>
    <d v="2025-08-12T00:00:00"/>
    <d v="2025-08-16T00:00:00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1"/>
    <s v="Unique"/>
    <n v="0.05"/>
    <n v="20342.501999999997"/>
    <n v="7934.9919999999966"/>
    <n v="0.39006961877157481"/>
    <x v="1"/>
    <x v="1"/>
    <s v="Clean"/>
    <s v="Match"/>
    <s v="Match"/>
  </r>
  <r>
    <s v="ORD-2024-10446"/>
    <d v="2024-05-09T00:00:00"/>
    <d v="2024-05-05T00:00:00"/>
    <n v="-4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1"/>
    <s v="Unique"/>
    <n v="0.2"/>
    <n v="3377.9680000000003"/>
    <n v="881.67800000000034"/>
    <n v="0.26100839321154029"/>
    <x v="4"/>
    <x v="0"/>
    <s v="Invalid"/>
    <s v="Match"/>
    <s v="Match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n v="1"/>
    <s v="Unique"/>
    <n v="0"/>
    <n v="33940.080000000002"/>
    <n v="10185.890000000003"/>
    <n v="0.30011390662603044"/>
    <x v="7"/>
    <x v="1"/>
    <s v="Clean"/>
    <s v="Match"/>
    <s v="Match"/>
  </r>
  <r>
    <s v="ORD-2025-10448"/>
    <d v="2025-08-10T00:00:00"/>
    <d v="2025-08-10T00:00:0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1"/>
    <s v="Unique"/>
    <n v="0.15"/>
    <n v="21872.369999999995"/>
    <n v="8042.8699999999953"/>
    <n v="0.36771826738483288"/>
    <x v="1"/>
    <x v="1"/>
    <s v="Clean"/>
    <s v="Match"/>
    <s v="Match"/>
  </r>
  <r>
    <s v="ORD-2024-10449"/>
    <d v="2024-01-15T00:00:00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1"/>
    <s v="Unique"/>
    <n v="0.15"/>
    <n v="342.05700000000002"/>
    <n v="97.487000000000023"/>
    <n v="0.28500220723446684"/>
    <x v="10"/>
    <x v="0"/>
    <s v="Clean"/>
    <s v="Match"/>
    <s v="Match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1"/>
    <s v="Unique"/>
    <n v="0"/>
    <n v="19622.16"/>
    <n v="5350.8899999999994"/>
    <n v="0.27269627808559299"/>
    <x v="2"/>
    <x v="0"/>
    <s v="Clean"/>
    <s v="Match"/>
    <s v="Match"/>
  </r>
  <r>
    <s v="ORD-2025-10451"/>
    <d v="2025-06-12T00:00:00"/>
    <d v="2025-06-19T00:00:00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1"/>
    <s v="Unique"/>
    <n v="0.25"/>
    <n v="15380.3475"/>
    <n v="5472.9774999999991"/>
    <n v="0.35584225258889624"/>
    <x v="2"/>
    <x v="1"/>
    <s v="Clean"/>
    <s v="Match"/>
    <s v="Match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n v="1"/>
    <s v="Unique"/>
    <n v="0.15"/>
    <n v="13039.952000000001"/>
    <n v="1912.1320000000014"/>
    <n v="0.1466364293365498"/>
    <x v="11"/>
    <x v="0"/>
    <s v="Clean"/>
    <s v="Match"/>
    <s v="Match"/>
  </r>
  <r>
    <s v="ORD-2024-10453"/>
    <d v="2024-05-10T00:00:00"/>
    <d v="2024-05-16T00:00:00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n v="1"/>
    <s v="Unique"/>
    <n v="0.2"/>
    <n v="9663.9840000000004"/>
    <n v="4035.0540000000001"/>
    <n v="0.41753525254180884"/>
    <x v="4"/>
    <x v="0"/>
    <s v="Clean"/>
    <s v="Match"/>
    <s v="Match"/>
  </r>
  <r>
    <s v="ORD-2025-10454"/>
    <d v="2025-05-03T00:00:00"/>
    <d v="2025-05-11T00:00:00"/>
    <n v="8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1"/>
    <s v="Unique"/>
    <n v="0"/>
    <n v="7417.6"/>
    <n v="2461.7400000000007"/>
    <n v="0.3318782355478862"/>
    <x v="4"/>
    <x v="1"/>
    <s v="Clean"/>
    <s v="Match"/>
    <s v="Match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1"/>
    <s v="Unique"/>
    <n v="0.15"/>
    <n v="25229.7"/>
    <n v="5059.2700000000004"/>
    <n v="0.20052834556098567"/>
    <x v="11"/>
    <x v="1"/>
    <s v="Clean"/>
    <s v="Match"/>
    <s v="Match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1"/>
    <s v="Unique"/>
    <n v="0"/>
    <n v="3235.08"/>
    <n v="1386.48"/>
    <n v="0.42857672762342819"/>
    <x v="0"/>
    <x v="0"/>
    <s v="Clean"/>
    <s v="Match"/>
    <s v="Match"/>
  </r>
  <r>
    <s v="ORD-2024-10457"/>
    <d v="2024-02-20T00:00:00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1"/>
    <s v="Unique"/>
    <n v="0.15"/>
    <n v="11070.867499999998"/>
    <n v="4447.2574999999988"/>
    <n v="0.40170813172499803"/>
    <x v="6"/>
    <x v="0"/>
    <s v="Clean"/>
    <s v="Match"/>
    <s v="Match"/>
  </r>
  <r>
    <s v="ORD-2024-10458"/>
    <d v="2024-05-04T00:00:00"/>
    <d v="2024-05-04T00:00:00"/>
    <n v="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1"/>
    <s v="Unique"/>
    <n v="0"/>
    <n v="19960.57"/>
    <n v="3356.9700000000012"/>
    <n v="0.1681800670020947"/>
    <x v="4"/>
    <x v="0"/>
    <s v="Clean"/>
    <s v="Match"/>
    <s v="Match"/>
  </r>
  <r>
    <s v="ORD-2024-10459"/>
    <d v="2024-02-10T00:00:00"/>
    <d v="2024-02-11T00:00:00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1"/>
    <s v="Unique"/>
    <n v="0.1"/>
    <n v="8596.0439999999999"/>
    <n v="3217.884"/>
    <n v="0.37434475672762962"/>
    <x v="6"/>
    <x v="0"/>
    <s v="Clean"/>
    <s v="Match"/>
    <s v="Match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1"/>
    <s v="Unique"/>
    <n v="0"/>
    <n v="3452.76"/>
    <n v="1374.8000000000002"/>
    <n v="0.39817421425178701"/>
    <x v="11"/>
    <x v="0"/>
    <s v="Clean"/>
    <s v="Match"/>
    <s v="Match"/>
  </r>
  <r>
    <s v="ORD-2025-10461"/>
    <d v="2025-09-30T00:00:00"/>
    <d v="2025-10-06T00:00:00"/>
    <n v="6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1"/>
    <s v="Unique"/>
    <n v="0.05"/>
    <n v="11626.974000000002"/>
    <n v="4232.9040000000023"/>
    <n v="0.36405895463428417"/>
    <x v="7"/>
    <x v="1"/>
    <s v="Clean"/>
    <s v="Match"/>
    <s v="Match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1"/>
    <s v="Unique"/>
    <n v="0.15"/>
    <n v="8614.2825000000012"/>
    <n v="1562.2025000000012"/>
    <n v="0.18135027496486225"/>
    <x v="4"/>
    <x v="1"/>
    <s v="Clean"/>
    <s v="Match"/>
    <s v="Match"/>
  </r>
  <r>
    <s v="ORD-2024-10463"/>
    <d v="2024-09-23T00:00:00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n v="1"/>
    <s v="Unique"/>
    <n v="0.2"/>
    <n v="2040.2240000000002"/>
    <n v="644.51400000000012"/>
    <n v="0.31590354784572677"/>
    <x v="7"/>
    <x v="0"/>
    <s v="Clean"/>
    <s v="Match"/>
    <s v="Match"/>
  </r>
  <r>
    <s v="ORD-2025-10464"/>
    <d v="2025-02-07T00:00:00"/>
    <d v="2025-02-08T00:00:00"/>
    <n v="1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1"/>
    <s v="Unique"/>
    <n v="0.2"/>
    <n v="2846.4"/>
    <n v="714.0300000000002"/>
    <n v="0.25085370994940986"/>
    <x v="6"/>
    <x v="1"/>
    <s v="Clean"/>
    <s v="Match"/>
    <s v="Match"/>
  </r>
  <r>
    <s v="ORD-2025-10465"/>
    <d v="2025-03-11T00:00:00"/>
    <d v="2025-03-15T00:00:00"/>
    <n v="4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1"/>
    <s v="Unique"/>
    <n v="0.05"/>
    <n v="10331.477999999999"/>
    <n v="3199.5679999999993"/>
    <n v="0.30969121746181905"/>
    <x v="11"/>
    <x v="1"/>
    <s v="Clean"/>
    <s v="Match"/>
    <s v="Match"/>
  </r>
  <r>
    <s v="ORD-2024-10466"/>
    <d v="2024-01-29T00:00:00"/>
    <d v="2024-02-06T00:00:00"/>
    <n v="8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n v="1"/>
    <s v="Unique"/>
    <n v="0"/>
    <n v="2517.8000000000002"/>
    <n v="1039.2600000000002"/>
    <n v="0.41276511239971408"/>
    <x v="10"/>
    <x v="0"/>
    <s v="Clean"/>
    <s v="Match"/>
    <s v="Match"/>
  </r>
  <r>
    <s v="ORD-2024-10467"/>
    <d v="2024-01-04T00:00:00"/>
    <d v="2024-01-08T00:00:00"/>
    <n v="4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1"/>
    <s v="Unique"/>
    <n v="0.2"/>
    <n v="11462.112000000001"/>
    <n v="4356.6320000000014"/>
    <n v="0.38008981241851425"/>
    <x v="10"/>
    <x v="0"/>
    <s v="Clean"/>
    <s v="Match"/>
    <s v="Match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n v="1"/>
    <s v="Unique"/>
    <n v="0.1"/>
    <n v="19297.485000000001"/>
    <n v="3845.8250000000007"/>
    <n v="0.1992915138941681"/>
    <x v="1"/>
    <x v="0"/>
    <s v="Clean"/>
    <s v="Match"/>
    <s v="Match"/>
  </r>
  <r>
    <s v="ORD-2025-10469"/>
    <d v="2025-01-09T00:00:00"/>
    <d v="2025-01-07T00:00:00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1"/>
    <s v="Unique"/>
    <n v="0"/>
    <n v="6564.99"/>
    <n v="1157.75"/>
    <n v="0.17635213458055535"/>
    <x v="10"/>
    <x v="1"/>
    <s v="Invalid"/>
    <s v="Match"/>
    <s v="Match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1"/>
    <s v="Unique"/>
    <n v="0.1"/>
    <n v="2812.4820000000004"/>
    <n v="530.36200000000053"/>
    <n v="0.18857436243147527"/>
    <x v="10"/>
    <x v="0"/>
    <s v="Clean"/>
    <s v="Match"/>
    <s v="Match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1"/>
    <s v="Unique"/>
    <n v="0.2"/>
    <n v="7079.6480000000001"/>
    <n v="2613.7380000000003"/>
    <n v="0.36919038912669105"/>
    <x v="0"/>
    <x v="0"/>
    <s v="Clean"/>
    <s v="Match"/>
    <s v="Match"/>
  </r>
  <r>
    <s v="ORD-2024-10472"/>
    <d v="2024-02-11T00:00:00"/>
    <d v="2024-02-15T00:00:00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1"/>
    <s v="Unique"/>
    <n v="0.25"/>
    <n v="6793.0650000000005"/>
    <n v="1807.8450000000003"/>
    <n v="0.26613097327936652"/>
    <x v="6"/>
    <x v="0"/>
    <s v="Clean"/>
    <s v="Match"/>
    <s v="Match"/>
  </r>
  <r>
    <s v="ORD-2024-10473"/>
    <d v="2024-03-02T00:00:00"/>
    <d v="2024-03-07T00:00:00"/>
    <n v="5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1"/>
    <s v="Unique"/>
    <n v="0"/>
    <n v="1844.2199999999998"/>
    <n v="750.00999999999976"/>
    <n v="0.40668141544934977"/>
    <x v="11"/>
    <x v="0"/>
    <s v="Clean"/>
    <s v="Match"/>
    <s v="Match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1"/>
    <s v="Unique"/>
    <n v="0.2"/>
    <n v="918.95999999999992"/>
    <n v="364.78"/>
    <n v="0.39694872464525116"/>
    <x v="3"/>
    <x v="0"/>
    <s v="Clean"/>
    <s v="Match"/>
    <s v="Match"/>
  </r>
  <r>
    <s v="ORD-2024-10475"/>
    <d v="2024-06-03T00:00:00"/>
    <d v="2024-06-10T00:00:0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1"/>
    <s v="Unique"/>
    <n v="0"/>
    <n v="4900.71"/>
    <n v="2186.81"/>
    <n v="0.44622309828575857"/>
    <x v="2"/>
    <x v="0"/>
    <s v="Clean"/>
    <s v="Match"/>
    <s v="Match"/>
  </r>
  <r>
    <s v="ORD-2025-10476"/>
    <d v="2025-03-01T00:00:00"/>
    <d v="2025-03-08T00:00:00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1"/>
    <s v="Unique"/>
    <n v="0.25"/>
    <n v="20272.920000000002"/>
    <n v="4399.5400000000027"/>
    <n v="0.21701560505344086"/>
    <x v="11"/>
    <x v="1"/>
    <s v="Clean"/>
    <s v="Match"/>
    <s v="Match"/>
  </r>
  <r>
    <s v="ORD-2024-10477"/>
    <d v="2024-05-07T00:00:00"/>
    <d v="2024-05-14T00:00:00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1"/>
    <s v="Unique"/>
    <n v="0.1"/>
    <n v="1035.6659999999999"/>
    <n v="440.24599999999998"/>
    <n v="0.42508492120046426"/>
    <x v="4"/>
    <x v="0"/>
    <s v="Clean"/>
    <s v="Match"/>
    <s v="Match"/>
  </r>
  <r>
    <s v="ORD-2025-10478"/>
    <d v="2025-08-23T00:00:00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n v="1"/>
    <s v="Unique"/>
    <n v="0.1"/>
    <n v="11843.442000000001"/>
    <n v="2486.5620000000017"/>
    <n v="0.20995264721184953"/>
    <x v="1"/>
    <x v="1"/>
    <s v="Clean"/>
    <s v="Match"/>
    <s v="Match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1"/>
    <s v="Unique"/>
    <n v="0.1"/>
    <n v="25702.173000000003"/>
    <n v="11130.693000000003"/>
    <n v="0.43306427826160854"/>
    <x v="2"/>
    <x v="0"/>
    <s v="Clean"/>
    <s v="Match"/>
    <s v="Match"/>
  </r>
  <r>
    <s v="ORD-2024-10480"/>
    <d v="2024-02-23T00:00:00"/>
    <d v="2024-02-20T00:00:00"/>
    <n v="-3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n v="1"/>
    <s v="Unique"/>
    <n v="0"/>
    <n v="2202.5500000000002"/>
    <n v="1167.9800000000002"/>
    <n v="0.53028535107035035"/>
    <x v="6"/>
    <x v="0"/>
    <s v="Invalid"/>
    <s v="Mismatch"/>
    <s v="Mismatch"/>
  </r>
  <r>
    <s v="ORD-2025-10481"/>
    <d v="2025-01-05T00:00:00"/>
    <d v="2025-01-09T00:00:00"/>
    <n v="4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1"/>
    <s v="Unique"/>
    <n v="0"/>
    <n v="4525.8"/>
    <n v="1811.29"/>
    <n v="0.40021432674886204"/>
    <x v="10"/>
    <x v="1"/>
    <s v="Clean"/>
    <s v="Match"/>
    <s v="Match"/>
  </r>
  <r>
    <s v="ORD-2025-10482"/>
    <d v="2025-06-05T00:00:00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n v="1"/>
    <s v="Unique"/>
    <n v="0.85"/>
    <n v="1676.3280000000002"/>
    <n v="-4677.2619999999997"/>
    <n v="-2.7901830667983827"/>
    <x v="2"/>
    <x v="1"/>
    <s v="Clean"/>
    <s v="Mismatch"/>
    <s v="Mismatch"/>
  </r>
  <r>
    <s v="ORD-2024-10483"/>
    <d v="2024-07-22T00:00:00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1"/>
    <s v="Unique"/>
    <n v="0.25"/>
    <n v="2893.9949999999999"/>
    <n v="1037.9649999999999"/>
    <n v="0.35866164247001114"/>
    <x v="0"/>
    <x v="0"/>
    <s v="Clean"/>
    <s v="Match"/>
    <s v="Match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1"/>
    <s v="Unique"/>
    <n v="0.15"/>
    <n v="705.2109999999999"/>
    <n v="266.89099999999991"/>
    <n v="0.37845552607659261"/>
    <x v="8"/>
    <x v="0"/>
    <s v="Clean"/>
    <s v="Match"/>
    <s v="Match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1"/>
    <s v="Unique"/>
    <n v="0.25"/>
    <n v="16385.489999999998"/>
    <n v="2706.2499999999982"/>
    <n v="0.16516137143289572"/>
    <x v="8"/>
    <x v="0"/>
    <s v="Clean"/>
    <s v="Match"/>
    <s v="Match"/>
  </r>
  <r>
    <s v="ORD-2025-10486"/>
    <d v="2025-01-22T00:00:00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1"/>
    <s v="Unique"/>
    <n v="0.25"/>
    <n v="7665.57"/>
    <n v="2069.9699999999993"/>
    <n v="0.27003471366121495"/>
    <x v="10"/>
    <x v="1"/>
    <s v="Clean"/>
    <s v="Match"/>
    <s v="Match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1"/>
    <s v="Unique"/>
    <n v="0.2"/>
    <n v="4670.8320000000003"/>
    <n v="1504.3420000000006"/>
    <n v="0.3220715281560117"/>
    <x v="2"/>
    <x v="1"/>
    <s v="Clean"/>
    <s v="Match"/>
    <s v="Match"/>
  </r>
  <r>
    <s v="ORD-2025-10488"/>
    <d v="2025-06-10T00:00:00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1"/>
    <s v="Unique"/>
    <n v="0"/>
    <n v="6155.5"/>
    <n v="1873.4099999999999"/>
    <n v="0.3043473316546178"/>
    <x v="2"/>
    <x v="1"/>
    <s v="Clean"/>
    <s v="Match"/>
    <s v="Match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1"/>
    <s v="Unique"/>
    <n v="0.2"/>
    <n v="8666.56"/>
    <n v="2699.12"/>
    <n v="0.31144075619392242"/>
    <x v="9"/>
    <x v="0"/>
    <s v="Clean"/>
    <s v="Match"/>
    <s v="Match"/>
  </r>
  <r>
    <s v="ORD-2024-10490"/>
    <d v="2024-02-07T00:00:00"/>
    <d v="2024-02-12T00:00:00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1"/>
    <s v="Unique"/>
    <n v="0.2"/>
    <n v="361.75200000000001"/>
    <n v="99.222000000000037"/>
    <n v="0.27428182843495003"/>
    <x v="6"/>
    <x v="0"/>
    <s v="Clean"/>
    <s v="Match"/>
    <s v="Match"/>
  </r>
  <r>
    <s v="ORD-2024-10491"/>
    <d v="2024-09-16T00:00:00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1"/>
    <s v="Unique"/>
    <n v="0.15"/>
    <n v="2418.1990000000001"/>
    <n v="804.37900000000013"/>
    <n v="0.33263556886757462"/>
    <x v="7"/>
    <x v="0"/>
    <s v="Clean"/>
    <s v="Match"/>
    <s v="Match"/>
  </r>
  <r>
    <s v="ORD-2025-10492"/>
    <d v="2025-04-29T00:00:00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n v="1"/>
    <s v="Unique"/>
    <n v="0.2"/>
    <n v="1941.0560000000003"/>
    <n v="733.63600000000019"/>
    <n v="0.37795715321969076"/>
    <x v="5"/>
    <x v="1"/>
    <s v="Clean"/>
    <s v="Match"/>
    <s v="Match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n v="1"/>
    <s v="Unique"/>
    <n v="0.25"/>
    <n v="4088.16"/>
    <n v="882.48"/>
    <n v="0.21586239286133616"/>
    <x v="2"/>
    <x v="1"/>
    <s v="Clean"/>
    <s v="Match"/>
    <s v="Match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1"/>
    <s v="Unique"/>
    <n v="0.05"/>
    <n v="15273.054999999997"/>
    <n v="4184.2949999999964"/>
    <n v="0.27396581757873573"/>
    <x v="6"/>
    <x v="1"/>
    <s v="Clean"/>
    <s v="Match"/>
    <s v="Match"/>
  </r>
  <r>
    <s v="ORD-2024-10495"/>
    <d v="2024-11-14T00:00:00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1"/>
    <s v="Unique"/>
    <n v="-0.13"/>
    <n v="2276.9951999999998"/>
    <n v="707.61519999999973"/>
    <n v="0.31076710218800629"/>
    <x v="3"/>
    <x v="0"/>
    <s v="Invalid"/>
    <s v="Mismatch"/>
    <s v="Mismatch"/>
  </r>
  <r>
    <s v="ORD-2024-10496"/>
    <d v="2024-05-09T00:00:00"/>
    <d v="2024-05-15T00:00:00"/>
    <n v="6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1"/>
    <s v="Unique"/>
    <n v="0.05"/>
    <n v="3784.7239999999997"/>
    <n v="1365.4839999999999"/>
    <n v="0.36078826355633858"/>
    <x v="4"/>
    <x v="0"/>
    <s v="Clean"/>
    <s v="Match"/>
    <s v="Match"/>
  </r>
  <r>
    <s v="ORD-2025-10497"/>
    <d v="2025-07-04T00:00:00"/>
    <d v="2025-07-06T00:00:00"/>
    <n v="2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1"/>
    <s v="Unique"/>
    <n v="0.1"/>
    <n v="6635.5560000000005"/>
    <n v="2982.6460000000006"/>
    <n v="0.44949451108543131"/>
    <x v="0"/>
    <x v="1"/>
    <s v="Clean"/>
    <s v="Match"/>
    <s v="Match"/>
  </r>
  <r>
    <s v="ORD-2024-10498"/>
    <d v="2024-08-29T00:00:00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1"/>
    <s v="Unique"/>
    <n v="0.2"/>
    <n v="2485.5040000000004"/>
    <n v="457.0740000000003"/>
    <n v="0.18389590199814615"/>
    <x v="1"/>
    <x v="0"/>
    <s v="Clean"/>
    <s v="Match"/>
    <s v="Match"/>
  </r>
  <r>
    <s v="ORD-2025-10499"/>
    <d v="2025-09-07T00:00:00"/>
    <d v="2025-09-10T00:00:0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1"/>
    <s v="Unique"/>
    <n v="0.05"/>
    <n v="850.34500000000003"/>
    <n v="249.36500000000001"/>
    <n v="0.29325156260106194"/>
    <x v="7"/>
    <x v="1"/>
    <s v="Clean"/>
    <s v="Match"/>
    <s v="Match"/>
  </r>
  <r>
    <s v="ORD-2024-10500"/>
    <d v="2024-12-22T00:00:00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n v="1"/>
    <s v="Unique"/>
    <n v="0"/>
    <n v="9997.8299999999981"/>
    <n v="3938.7599999999984"/>
    <n v="0.3939614896432525"/>
    <x v="8"/>
    <x v="0"/>
    <s v="Clean"/>
    <s v="Mismatch"/>
    <s v="Mismatch"/>
  </r>
  <r>
    <s v="ORD-2024-10501"/>
    <d v="2024-05-17T00:00:00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n v="1"/>
    <s v="Unique"/>
    <n v="0.85"/>
    <n v="5124.5865000000003"/>
    <n v="-23452.5635"/>
    <n v="-4.5764791949555343"/>
    <x v="4"/>
    <x v="0"/>
    <s v="Clean"/>
    <s v="Mismatch"/>
    <s v="Mismatch"/>
  </r>
  <r>
    <s v="ORD-2024-10502"/>
    <d v="2024-08-11T00:00:0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1"/>
    <s v="Unique"/>
    <n v="0.15"/>
    <n v="17837.453999999998"/>
    <n v="4210.4339999999975"/>
    <n v="0.23604456106796395"/>
    <x v="1"/>
    <x v="0"/>
    <s v="Clean"/>
    <s v="Match"/>
    <s v="Match"/>
  </r>
  <r>
    <s v="ORD-2024-10503"/>
    <d v="2024-04-01T00:00:00"/>
    <d v="2024-04-09T00:00:00"/>
    <n v="8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1"/>
    <s v="Unique"/>
    <n v="0.1"/>
    <n v="4465.4220000000005"/>
    <n v="1088.3220000000006"/>
    <n v="0.24372209390288319"/>
    <x v="5"/>
    <x v="0"/>
    <s v="Clean"/>
    <s v="Match"/>
    <s v="Match"/>
  </r>
  <r>
    <s v="ORD-2024-10504"/>
    <d v="2024-09-28T00:00:00"/>
    <d v="2024-10-05T00:00:00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1"/>
    <s v="Unique"/>
    <n v="0.1"/>
    <n v="10594.08"/>
    <n v="3433.7699999999995"/>
    <n v="0.32412158488514337"/>
    <x v="7"/>
    <x v="0"/>
    <s v="Clean"/>
    <s v="Match"/>
    <s v="Match"/>
  </r>
  <r>
    <s v="ORD-2025-10505"/>
    <d v="2025-02-12T00:00:00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1"/>
    <s v="Unique"/>
    <n v="0"/>
    <n v="17312.48"/>
    <n v="2888.26"/>
    <n v="0.16683109525613893"/>
    <x v="6"/>
    <x v="1"/>
    <s v="Clean"/>
    <s v="Match"/>
    <s v="Match"/>
  </r>
  <r>
    <s v="ORD-2024-10506"/>
    <d v="2024-11-09T00:00:0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1"/>
    <s v="Unique"/>
    <n v="0.2"/>
    <n v="17555.688000000002"/>
    <n v="4262.4880000000012"/>
    <n v="0.24279811762432785"/>
    <x v="3"/>
    <x v="0"/>
    <s v="Clean"/>
    <s v="Match"/>
    <s v="Match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n v="1"/>
    <s v="Unique"/>
    <n v="0.1"/>
    <n v="1205.6399999999999"/>
    <n v="363.56999999999982"/>
    <n v="0.30155767890912699"/>
    <x v="8"/>
    <x v="0"/>
    <s v="Clean"/>
    <s v="Match"/>
    <s v="Match"/>
  </r>
  <r>
    <s v="ORD-2025-10508"/>
    <d v="2025-04-15T00:00:00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1"/>
    <s v="Unique"/>
    <n v="0.25"/>
    <n v="8971.26"/>
    <n v="2156.91"/>
    <n v="0.24042442198754688"/>
    <x v="5"/>
    <x v="1"/>
    <s v="Clean"/>
    <s v="Match"/>
    <s v="Match"/>
  </r>
  <r>
    <s v="ORD-2024-10509"/>
    <d v="2024-03-31T00:00:00"/>
    <d v="2024-04-07T00:00:00"/>
    <n v="7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1"/>
    <s v="Unique"/>
    <n v="0"/>
    <n v="7324"/>
    <n v="3144.37"/>
    <n v="0.42932413981430911"/>
    <x v="11"/>
    <x v="0"/>
    <s v="Clean"/>
    <s v="Match"/>
    <s v="Match"/>
  </r>
  <r>
    <s v="ORD-2025-10510"/>
    <d v="2025-05-12T00:00:00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1"/>
    <s v="Unique"/>
    <n v="0.2"/>
    <n v="23241.216"/>
    <n v="6020.3159999999989"/>
    <n v="0.25903618812371948"/>
    <x v="4"/>
    <x v="1"/>
    <s v="Clean"/>
    <s v="Match"/>
    <s v="Match"/>
  </r>
  <r>
    <s v="ORD-2024-10511"/>
    <d v="2024-10-18T00:00:00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n v="1"/>
    <s v="Unique"/>
    <n v="0"/>
    <n v="8477.02"/>
    <n v="1592.0600000000004"/>
    <n v="0.18780892341884298"/>
    <x v="9"/>
    <x v="0"/>
    <s v="Clean"/>
    <s v="Match"/>
    <s v="Match"/>
  </r>
  <r>
    <s v="ORD-2024-10512"/>
    <d v="2024-10-23T00:00:00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1"/>
    <s v="Unique"/>
    <n v="0.25"/>
    <n v="3673.8225000000002"/>
    <n v="1585.6725000000001"/>
    <n v="0.43161380278987349"/>
    <x v="9"/>
    <x v="0"/>
    <s v="Clean"/>
    <s v="Match"/>
    <s v="Match"/>
  </r>
  <r>
    <s v="ORD-2025-10513"/>
    <d v="2025-03-02T00:00:00"/>
    <d v="2025-03-03T00:00:00"/>
    <n v="1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1"/>
    <s v="Unique"/>
    <n v="0.25"/>
    <n v="6047.1749999999993"/>
    <n v="2678.3849999999993"/>
    <n v="0.44291508018206843"/>
    <x v="11"/>
    <x v="1"/>
    <s v="Clean"/>
    <s v="Match"/>
    <s v="Match"/>
  </r>
  <r>
    <s v="ORD-2025-10514"/>
    <d v="2025-06-27T00:00:00"/>
    <d v="2025-07-02T00:00:00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n v="1"/>
    <s v="Unique"/>
    <n v="0.1"/>
    <n v="5937.246000000001"/>
    <n v="1848.786000000001"/>
    <n v="0.31138780505304997"/>
    <x v="2"/>
    <x v="1"/>
    <s v="Clean"/>
    <s v="Mismatch"/>
    <s v="Match"/>
  </r>
  <r>
    <s v="ORD-2024-10515"/>
    <d v="2024-11-18T00:00:00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1"/>
    <s v="Unique"/>
    <n v="0.1"/>
    <n v="20913.876"/>
    <n v="9229.1959999999999"/>
    <n v="0.44129533903710627"/>
    <x v="3"/>
    <x v="0"/>
    <s v="Clean"/>
    <s v="Match"/>
    <s v="Match"/>
  </r>
  <r>
    <s v="ORD-2025-10516"/>
    <d v="2025-04-11T00:00:00"/>
    <d v="2025-04-11T00:00:00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1"/>
    <s v="Unique"/>
    <n v="-7.0000000000000007E-2"/>
    <n v="4770.5843000000004"/>
    <n v="2687.1743000000006"/>
    <n v="0.56327991101635089"/>
    <x v="5"/>
    <x v="1"/>
    <s v="Invalid"/>
    <s v="Mismatch"/>
    <s v="Mismatch"/>
  </r>
  <r>
    <s v="ORD-2024-10517"/>
    <d v="2024-09-28T00:00:00"/>
    <d v="2024-10-04T00:00:00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1"/>
    <s v="Unique"/>
    <n v="0"/>
    <n v="2233.1799999999998"/>
    <n v="647.3599999999999"/>
    <n v="0.28988258895386843"/>
    <x v="7"/>
    <x v="0"/>
    <s v="Clean"/>
    <s v="Match"/>
    <s v="Match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1"/>
    <s v="Unique"/>
    <n v="0.2"/>
    <n v="11890.368000000002"/>
    <n v="2655.8380000000016"/>
    <n v="0.22336045444514427"/>
    <x v="4"/>
    <x v="1"/>
    <s v="Clean"/>
    <s v="Match"/>
    <s v="Match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n v="1"/>
    <s v="Unique"/>
    <n v="0.25"/>
    <n v="8421.682499999999"/>
    <n v="1887.2124999999987"/>
    <n v="0.22408972316398759"/>
    <x v="5"/>
    <x v="1"/>
    <s v="Invalid"/>
    <s v="Match"/>
    <s v="Match"/>
  </r>
  <r>
    <s v="ORD-2025-10520"/>
    <d v="2025-07-03T00:00:00"/>
    <d v="2025-07-07T00:00:00"/>
    <n v="4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1"/>
    <s v="Unique"/>
    <n v="0.2"/>
    <n v="13968.672"/>
    <n v="5111.0920000000006"/>
    <n v="0.36589677243477409"/>
    <x v="0"/>
    <x v="1"/>
    <s v="Clean"/>
    <s v="Match"/>
    <s v="Match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1"/>
    <s v="Unique"/>
    <n v="0.05"/>
    <n v="1611.1144999999999"/>
    <n v="715.96449999999993"/>
    <n v="0.44439082386757739"/>
    <x v="0"/>
    <x v="0"/>
    <s v="Clean"/>
    <s v="Match"/>
    <s v="Match"/>
  </r>
  <r>
    <s v="ORD-2025-10522"/>
    <d v="2025-03-25T00:00:00"/>
    <d v="2025-04-01T00:00:00"/>
    <n v="7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1"/>
    <s v="Unique"/>
    <n v="0.05"/>
    <n v="12495.027"/>
    <n v="3310.5069999999996"/>
    <n v="0.26494596610315446"/>
    <x v="11"/>
    <x v="1"/>
    <s v="Clean"/>
    <s v="Match"/>
    <s v="Match"/>
  </r>
  <r>
    <s v="ORD-2025-10523"/>
    <d v="2025-02-28T00:00:00"/>
    <d v="2025-03-08T00:00:00"/>
    <n v="8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1"/>
    <s v="Unique"/>
    <n v="0"/>
    <n v="33034.86"/>
    <n v="8495.0299999999988"/>
    <n v="0.25715350390466307"/>
    <x v="6"/>
    <x v="1"/>
    <s v="Clean"/>
    <s v="Match"/>
    <s v="Match"/>
  </r>
  <r>
    <s v="ORD-2024-10524"/>
    <d v="2024-04-02T00:00:00"/>
    <d v="2024-04-03T00:00:00"/>
    <n v="1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1"/>
    <s v="Unique"/>
    <n v="0"/>
    <n v="5805.26"/>
    <n v="1150.9000000000005"/>
    <n v="0.19825124111581574"/>
    <x v="5"/>
    <x v="0"/>
    <s v="Clean"/>
    <s v="Match"/>
    <s v="Match"/>
  </r>
  <r>
    <s v="ORD-2024-10525"/>
    <d v="2024-11-30T00:00:00"/>
    <d v="2024-12-01T00:00:00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1"/>
    <s v="Unique"/>
    <n v="0.1"/>
    <n v="34079.616000000002"/>
    <n v="12208.226000000002"/>
    <n v="0.35822663025311091"/>
    <x v="3"/>
    <x v="0"/>
    <s v="Clean"/>
    <s v="Match"/>
    <s v="Match"/>
  </r>
  <r>
    <s v="ORD-2024-10526"/>
    <d v="2024-10-17T00:00:00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1"/>
    <s v="Unique"/>
    <n v="0.1"/>
    <n v="11359.800000000001"/>
    <n v="4297.3600000000015"/>
    <n v="0.37829539252451638"/>
    <x v="9"/>
    <x v="0"/>
    <s v="Clean"/>
    <s v="Match"/>
    <s v="Match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1"/>
    <s v="Unique"/>
    <n v="0"/>
    <n v="1136.1600000000001"/>
    <n v="564.08000000000004"/>
    <n v="0.49647936910294327"/>
    <x v="0"/>
    <x v="1"/>
    <s v="Clean"/>
    <s v="Mismatch"/>
    <s v="Mismatch"/>
  </r>
  <r>
    <s v="ORD-2025-10528"/>
    <d v="2025-10-01T00:00:00"/>
    <d v="2025-10-05T00:00:00"/>
    <n v="4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1"/>
    <s v="Unique"/>
    <n v="0.15"/>
    <n v="13802.13"/>
    <n v="3726.1999999999989"/>
    <n v="0.26997282303528508"/>
    <x v="9"/>
    <x v="1"/>
    <s v="Clean"/>
    <s v="Match"/>
    <s v="Match"/>
  </r>
  <r>
    <s v="ORD-2024-10529"/>
    <d v="2024-10-07T00:00:00"/>
    <d v="2024-10-09T00:00:00"/>
    <n v="2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1"/>
    <s v="Unique"/>
    <n v="0.05"/>
    <n v="29558.119500000001"/>
    <n v="8255.9894999999997"/>
    <n v="0.27931376013281223"/>
    <x v="9"/>
    <x v="0"/>
    <s v="Clean"/>
    <s v="Match"/>
    <s v="Match"/>
  </r>
  <r>
    <s v="ORD-2024-10530"/>
    <d v="2024-02-06T00:00:00"/>
    <d v="2024-02-08T00:00:00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1"/>
    <s v="Unique"/>
    <n v="0"/>
    <n v="16400.25"/>
    <n v="4253.2900000000009"/>
    <n v="0.25934299782015524"/>
    <x v="6"/>
    <x v="0"/>
    <s v="Clean"/>
    <s v="Match"/>
    <s v="Match"/>
  </r>
  <r>
    <s v="ORD-2025-10531"/>
    <d v="2025-05-30T00:00:00"/>
    <d v="2025-06-01T00:00:00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1"/>
    <s v="Unique"/>
    <n v="0.05"/>
    <n v="17053.0605"/>
    <n v="6310.6805000000004"/>
    <n v="0.37006146198801093"/>
    <x v="4"/>
    <x v="1"/>
    <s v="Clean"/>
    <s v="Match"/>
    <s v="Match"/>
  </r>
  <r>
    <s v="ORD-2024-10532"/>
    <d v="2024-08-01T00:00:00"/>
    <d v="2024-08-08T00:00:00"/>
    <n v="7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1"/>
    <s v="Unique"/>
    <n v="0.1"/>
    <n v="398.67300000000006"/>
    <n v="87.013000000000034"/>
    <n v="0.21825656615822997"/>
    <x v="1"/>
    <x v="0"/>
    <s v="Clean"/>
    <s v="Match"/>
    <s v="Match"/>
  </r>
  <r>
    <s v="ORD-2025-10533"/>
    <d v="2025-10-05T00:00:00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1"/>
    <s v="Unique"/>
    <n v="0.05"/>
    <n v="17862.146999999997"/>
    <n v="7969.9369999999981"/>
    <n v="0.44619143488182017"/>
    <x v="9"/>
    <x v="1"/>
    <s v="Clean"/>
    <s v="Match"/>
    <s v="Match"/>
  </r>
  <r>
    <s v="ORD-2024-10534"/>
    <d v="2024-08-25T00:00:00"/>
    <d v="2024-09-01T00:00:00"/>
    <n v="7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1"/>
    <s v="Unique"/>
    <n v="0.25"/>
    <n v="2165.8500000000004"/>
    <n v="41.370000000000346"/>
    <n v="1.91010457787937E-2"/>
    <x v="1"/>
    <x v="0"/>
    <s v="Clean"/>
    <s v="Match"/>
    <s v="Mismatch"/>
  </r>
  <r>
    <s v="ORD-2025-10535"/>
    <d v="2025-04-27T00:00:00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1"/>
    <s v="Unique"/>
    <n v="0.1"/>
    <n v="14268.204"/>
    <n v="2562.9040000000005"/>
    <n v="0.17962344805274724"/>
    <x v="5"/>
    <x v="1"/>
    <s v="Clean"/>
    <s v="Match"/>
    <s v="Match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1"/>
    <s v="Unique"/>
    <n v="0.2"/>
    <n v="9602.3520000000008"/>
    <n v="2214.7820000000011"/>
    <n v="0.23064994909580494"/>
    <x v="4"/>
    <x v="0"/>
    <s v="Clean"/>
    <s v="Match"/>
    <s v="Match"/>
  </r>
  <r>
    <s v="ORD-2025-10537"/>
    <d v="2025-04-10T00:00:00"/>
    <d v="2025-04-17T00:00:00"/>
    <n v="7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1"/>
    <s v="Unique"/>
    <n v="0.25"/>
    <n v="19891.724999999999"/>
    <n v="7595.9649999999983"/>
    <n v="0.38186557475533162"/>
    <x v="5"/>
    <x v="1"/>
    <s v="Clean"/>
    <s v="Match"/>
    <s v="Match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1"/>
    <s v="Unique"/>
    <n v="0.05"/>
    <n v="1927.6545000000001"/>
    <n v="467.05450000000019"/>
    <n v="0.24229160360427668"/>
    <x v="10"/>
    <x v="0"/>
    <s v="Clean"/>
    <s v="Match"/>
    <s v="Match"/>
  </r>
  <r>
    <s v="ORD-2024-10539"/>
    <d v="2024-09-25T00:00:00"/>
    <d v="2024-10-01T00:00:00"/>
    <n v="6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1"/>
    <s v="Unique"/>
    <n v="0.15"/>
    <n v="29900.79"/>
    <n v="5250.1200000000026"/>
    <n v="0.17558465846554563"/>
    <x v="7"/>
    <x v="0"/>
    <s v="Clean"/>
    <s v="Match"/>
    <s v="Match"/>
  </r>
  <r>
    <s v="ORD-2025-10540"/>
    <d v="2025-07-04T00:00:00"/>
    <d v="2025-07-04T00:00:00"/>
    <n v="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1"/>
    <s v="Unique"/>
    <n v="0.1"/>
    <n v="1904.4450000000002"/>
    <n v="587.9050000000002"/>
    <n v="0.30870148520960183"/>
    <x v="0"/>
    <x v="1"/>
    <s v="Clean"/>
    <s v="Match"/>
    <s v="Match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1"/>
    <s v="Unique"/>
    <n v="0.2"/>
    <n v="21571.592000000004"/>
    <n v="4453.5220000000045"/>
    <n v="0.20645309813017063"/>
    <x v="6"/>
    <x v="0"/>
    <s v="Invalid"/>
    <s v="Match"/>
    <s v="Match"/>
  </r>
  <r>
    <s v="ORD-2025-10542"/>
    <d v="2025-07-08T00:00:00"/>
    <d v="2025-07-09T00:00:00"/>
    <n v="1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1"/>
    <s v="Unique"/>
    <n v="0"/>
    <n v="8641.68"/>
    <n v="2894.59"/>
    <n v="0.33495686024013849"/>
    <x v="0"/>
    <x v="1"/>
    <s v="Clean"/>
    <s v="Match"/>
    <s v="Match"/>
  </r>
  <r>
    <s v="ORD-2024-10543"/>
    <d v="2024-09-17T00:00:00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1"/>
    <s v="Unique"/>
    <n v="0.2"/>
    <n v="9762.2880000000005"/>
    <n v="1394.0480000000007"/>
    <n v="0.14279931098119628"/>
    <x v="7"/>
    <x v="0"/>
    <s v="Clean"/>
    <s v="Mismatch"/>
    <s v="Match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1"/>
    <s v="Unique"/>
    <n v="0.15"/>
    <n v="418.76949999999999"/>
    <n v="105.04949999999997"/>
    <n v="0.25085279610859906"/>
    <x v="0"/>
    <x v="0"/>
    <s v="Clean"/>
    <s v="Match"/>
    <s v="Match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1"/>
    <s v="Unique"/>
    <n v="0.25"/>
    <n v="21861.72"/>
    <n v="3397.380000000001"/>
    <n v="0.1554031430280875"/>
    <x v="10"/>
    <x v="1"/>
    <s v="Clean"/>
    <s v="Match"/>
    <s v="Match"/>
  </r>
  <r>
    <s v="ORD-2024-10546"/>
    <d v="2024-05-27T00:00:00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1"/>
    <s v="Unique"/>
    <n v="0.15"/>
    <n v="17260.116999999998"/>
    <n v="3746.6069999999982"/>
    <n v="0.21706730029697935"/>
    <x v="4"/>
    <x v="0"/>
    <s v="Clean"/>
    <s v="Match"/>
    <s v="Match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1"/>
    <s v="Unique"/>
    <n v="0.15"/>
    <n v="10911.322499999998"/>
    <n v="3944.8824999999988"/>
    <n v="0.36154027158486052"/>
    <x v="1"/>
    <x v="1"/>
    <s v="Clean"/>
    <s v="Match"/>
    <s v="Mismatch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1"/>
    <s v="Unique"/>
    <n v="0.1"/>
    <n v="30148.929"/>
    <n v="4993.8590000000004"/>
    <n v="0.16563968159532302"/>
    <x v="4"/>
    <x v="0"/>
    <s v="Clean"/>
    <s v="Match"/>
    <s v="Match"/>
  </r>
  <r>
    <s v="ORD-2024-10549"/>
    <d v="2024-05-29T00:00:00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n v="1"/>
    <s v="Unique"/>
    <n v="0"/>
    <n v="1072.01"/>
    <n v="219.39"/>
    <n v="0.20465294167032022"/>
    <x v="4"/>
    <x v="0"/>
    <s v="Clean"/>
    <s v="Match"/>
    <s v="Match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1"/>
    <s v="Unique"/>
    <n v="0.1"/>
    <n v="10271.529"/>
    <n v="1999.2890000000007"/>
    <n v="0.19464375751652949"/>
    <x v="9"/>
    <x v="1"/>
    <s v="Clean"/>
    <s v="Match"/>
    <s v="Match"/>
  </r>
  <r>
    <s v="ORD-2024-10551"/>
    <d v="2024-08-02T00:00:00"/>
    <d v="2024-08-10T00:00:00"/>
    <n v="8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1"/>
    <s v="Unique"/>
    <n v="0.2"/>
    <n v="10206.912"/>
    <n v="3442.3820000000005"/>
    <n v="0.33725988820125036"/>
    <x v="1"/>
    <x v="0"/>
    <s v="Clean"/>
    <s v="Match"/>
    <s v="Match"/>
  </r>
  <r>
    <s v="ORD-2024-10552"/>
    <d v="2024-02-27T00:00:00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n v="1"/>
    <s v="Unique"/>
    <n v="0.15"/>
    <n v="8027.6295"/>
    <n v="2531.5394999999999"/>
    <n v="0.31535330572991688"/>
    <x v="6"/>
    <x v="0"/>
    <s v="Clean"/>
    <s v="Match"/>
    <s v="Match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n v="1"/>
    <s v="Unique"/>
    <n v="0.7"/>
    <n v="750.072"/>
    <n v="-829.09800000000007"/>
    <n v="-1.1053578856429784"/>
    <x v="10"/>
    <x v="1"/>
    <s v="Clean"/>
    <s v="Mismatch"/>
    <s v="Mismatch"/>
  </r>
  <r>
    <s v="ORD-2025-10554"/>
    <d v="2025-04-25T00:00:00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1"/>
    <s v="Unique"/>
    <n v="0.25"/>
    <n v="8735.2425000000003"/>
    <n v="2115.1725000000006"/>
    <n v="0.24214239043735769"/>
    <x v="5"/>
    <x v="1"/>
    <s v="Clean"/>
    <s v="Match"/>
    <s v="Match"/>
  </r>
  <r>
    <s v="ORD-2024-10555"/>
    <d v="2024-10-12T00:00:0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1"/>
    <s v="Unique"/>
    <n v="0.05"/>
    <n v="4070.636"/>
    <n v="1239.0160000000001"/>
    <n v="0.30437897173807732"/>
    <x v="9"/>
    <x v="0"/>
    <s v="Clean"/>
    <s v="Match"/>
    <s v="Match"/>
  </r>
  <r>
    <s v="ORD-2025-10556"/>
    <d v="2025-02-04T00:00:00"/>
    <d v="2025-02-10T00:00:0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1"/>
    <s v="Unique"/>
    <n v="0.05"/>
    <n v="5943.9599999999991"/>
    <n v="2339.8199999999993"/>
    <n v="0.39364665980255581"/>
    <x v="6"/>
    <x v="1"/>
    <s v="Clean"/>
    <s v="Match"/>
    <s v="Match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1"/>
    <s v="Unique"/>
    <n v="0"/>
    <n v="4426.66"/>
    <n v="1391.46"/>
    <n v="0.31433631677156143"/>
    <x v="2"/>
    <x v="0"/>
    <s v="Clean"/>
    <s v="Match"/>
    <s v="Mismatch"/>
  </r>
  <r>
    <s v="ORD-2024-10558"/>
    <d v="2024-05-08T00:00:00"/>
    <d v="2024-05-14T00:00:00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n v="1"/>
    <s v="Unique"/>
    <n v="0.05"/>
    <n v="32228.882999999998"/>
    <n v="7257.5229999999974"/>
    <n v="0.22518692317074712"/>
    <x v="4"/>
    <x v="0"/>
    <s v="Clean"/>
    <s v="Match"/>
    <s v="Match"/>
  </r>
  <r>
    <s v="ORD-2025-10559"/>
    <d v="2025-09-04T00:00:00"/>
    <d v="2025-09-04T00:00:00"/>
    <n v="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1"/>
    <s v="Unique"/>
    <n v="0.2"/>
    <n v="19711.68"/>
    <n v="5249.880000000001"/>
    <n v="0.26633346320557155"/>
    <x v="7"/>
    <x v="1"/>
    <s v="Clean"/>
    <s v="Match"/>
    <s v="Match"/>
  </r>
  <r>
    <s v="ORD-2025-10560"/>
    <d v="2025-09-30T00:00:00"/>
    <d v="2025-10-07T00:00:00"/>
    <n v="7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1"/>
    <s v="Unique"/>
    <n v="0.1"/>
    <n v="14750.190000000002"/>
    <n v="5267.6100000000024"/>
    <n v="0.35712150148574368"/>
    <x v="7"/>
    <x v="1"/>
    <s v="Clean"/>
    <s v="Match"/>
    <s v="Match"/>
  </r>
  <r>
    <s v="ORD-2024-10561"/>
    <d v="2024-01-16T00:00:00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n v="1"/>
    <s v="Unique"/>
    <n v="0"/>
    <n v="1130.1199999999999"/>
    <n v="281.49999999999989"/>
    <n v="0.249088592361873"/>
    <x v="10"/>
    <x v="0"/>
    <s v="Clean"/>
    <s v="Match"/>
    <s v="Match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1"/>
    <s v="Unique"/>
    <n v="0"/>
    <n v="2900.88"/>
    <n v="509.0300000000002"/>
    <n v="0.17547433882132324"/>
    <x v="0"/>
    <x v="1"/>
    <s v="Clean"/>
    <s v="Match"/>
    <s v="Match"/>
  </r>
  <r>
    <s v="ORD-2024-10563"/>
    <d v="2024-05-10T00:00:00"/>
    <d v="2024-05-16T00:00:00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1"/>
    <s v="Unique"/>
    <n v="0.2"/>
    <n v="680.62400000000014"/>
    <n v="217.13400000000013"/>
    <n v="0.31902195632243363"/>
    <x v="4"/>
    <x v="0"/>
    <s v="Clean"/>
    <s v="Match"/>
    <s v="Match"/>
  </r>
  <r>
    <s v="ORD-2024-10564"/>
    <d v="2024-05-06T00:00:00"/>
    <d v="2024-05-12T00:00:00"/>
    <n v="6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1"/>
    <s v="Unique"/>
    <n v="0.2"/>
    <n v="5694.9840000000004"/>
    <n v="1076.6540000000005"/>
    <n v="0.1890530333360024"/>
    <x v="4"/>
    <x v="0"/>
    <s v="Clean"/>
    <s v="Match"/>
    <s v="Match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1"/>
    <s v="Unique"/>
    <n v="0.2"/>
    <n v="1474.1440000000002"/>
    <n v="505.6840000000002"/>
    <n v="0.34303568715132315"/>
    <x v="3"/>
    <x v="0"/>
    <s v="Clean"/>
    <s v="Match"/>
    <s v="Match"/>
  </r>
  <r>
    <s v="ORD-2025-10566"/>
    <d v="2025-08-07T00:00:00"/>
    <d v="2025-08-13T00:00:00"/>
    <n v="6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n v="1"/>
    <s v="Unique"/>
    <n v="0.2"/>
    <n v="9224.9279999999999"/>
    <n v="2219.7280000000001"/>
    <n v="0.24062279944081949"/>
    <x v="1"/>
    <x v="1"/>
    <s v="Clean"/>
    <s v="Match"/>
    <s v="Match"/>
  </r>
  <r>
    <s v="ORD-2024-10567"/>
    <d v="2024-08-11T00:00:0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1"/>
    <s v="Unique"/>
    <n v="0.1"/>
    <n v="4712.2020000000002"/>
    <n v="860.29200000000037"/>
    <n v="0.18256687637754077"/>
    <x v="1"/>
    <x v="0"/>
    <s v="Clean"/>
    <s v="Match"/>
    <s v="Match"/>
  </r>
  <r>
    <s v="ORD-2024-10568"/>
    <d v="2024-02-06T00:00:00"/>
    <d v="2024-02-10T00:00:0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1"/>
    <s v="Unique"/>
    <n v="0.05"/>
    <n v="1305.357"/>
    <n v="573.46699999999998"/>
    <n v="0.4393181328939133"/>
    <x v="6"/>
    <x v="0"/>
    <s v="Clean"/>
    <s v="Match"/>
    <s v="Match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1"/>
    <s v="Unique"/>
    <n v="0.25"/>
    <n v="2854.7250000000004"/>
    <n v="886.60500000000047"/>
    <n v="0.31057457373302172"/>
    <x v="10"/>
    <x v="0"/>
    <s v="Clean"/>
    <s v="Match"/>
    <s v="Match"/>
  </r>
  <r>
    <s v="ORD-2025-10570"/>
    <d v="2025-09-08T00:00:00"/>
    <d v="2025-09-10T00:00:0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1"/>
    <s v="Unique"/>
    <n v="0.25"/>
    <n v="14630.264999999999"/>
    <n v="2723.9049999999988"/>
    <n v="0.18618288868998606"/>
    <x v="7"/>
    <x v="1"/>
    <s v="Clean"/>
    <s v="Match"/>
    <s v="Match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1"/>
    <s v="Unique"/>
    <n v="0.25"/>
    <n v="8879.49"/>
    <n v="2534.92"/>
    <n v="0.28548035979543873"/>
    <x v="1"/>
    <x v="1"/>
    <s v="Clean"/>
    <s v="Match"/>
    <s v="Match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2"/>
    <s v="Review Required"/>
    <n v="0"/>
    <n v="21381.45"/>
    <n v="8141.2400000000016"/>
    <n v="0.38076182859441249"/>
    <x v="6"/>
    <x v="1"/>
    <s v="Warning"/>
    <s v="Match"/>
    <s v="Match"/>
  </r>
  <r>
    <s v="ORD-2024-10573"/>
    <d v="2024-01-02T00:00:00"/>
    <d v="2024-01-09T00:00:00"/>
    <n v="7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1"/>
    <s v="Unique"/>
    <n v="0.2"/>
    <n v="1774.944"/>
    <n v="767.54399999999998"/>
    <n v="0.43243279787982042"/>
    <x v="10"/>
    <x v="0"/>
    <s v="Clean"/>
    <s v="Match"/>
    <s v="Match"/>
  </r>
  <r>
    <s v="ORD-2025-10574"/>
    <d v="2025-09-22T00:00:00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1"/>
    <s v="Unique"/>
    <n v="0"/>
    <n v="573.65"/>
    <n v="250.97999999999996"/>
    <n v="0.43751416368866031"/>
    <x v="7"/>
    <x v="1"/>
    <s v="Clean"/>
    <s v="Match"/>
    <s v="Match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1"/>
    <s v="Unique"/>
    <n v="0"/>
    <n v="5423.2"/>
    <n v="1350.7599999999998"/>
    <n v="0.24907065938929043"/>
    <x v="6"/>
    <x v="0"/>
    <s v="Clean"/>
    <s v="Match"/>
    <s v="Match"/>
  </r>
  <r>
    <s v="ORD-2025-10576"/>
    <d v="2025-03-11T00:00:00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1"/>
    <s v="Unique"/>
    <n v="0.2"/>
    <n v="3983.424"/>
    <n v="808.51400000000012"/>
    <n v="0.2029696060474607"/>
    <x v="11"/>
    <x v="1"/>
    <s v="Clean"/>
    <s v="Match"/>
    <s v="Match"/>
  </r>
  <r>
    <s v="ORD-2024-10577"/>
    <d v="2024-02-17T00:00:00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n v="1"/>
    <s v="Unique"/>
    <n v="0"/>
    <n v="23530.14"/>
    <n v="3992.3499999999985"/>
    <n v="0.16966962372514566"/>
    <x v="6"/>
    <x v="0"/>
    <s v="Clean"/>
    <s v="Match"/>
    <s v="Match"/>
  </r>
  <r>
    <s v="ORD-2025-10578"/>
    <d v="2025-08-28T00:00:00"/>
    <d v="2025-09-03T00:00:00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1"/>
    <s v="Unique"/>
    <n v="0"/>
    <n v="1879.1499999999999"/>
    <n v="744.24999999999977"/>
    <n v="0.39605672777585599"/>
    <x v="1"/>
    <x v="1"/>
    <s v="Clean"/>
    <s v="Match"/>
    <s v="Match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1"/>
    <s v="Unique"/>
    <n v="0.05"/>
    <n v="15011.805"/>
    <n v="5351.4449999999997"/>
    <n v="0.35648244831317749"/>
    <x v="6"/>
    <x v="0"/>
    <s v="Clean"/>
    <s v="Match"/>
    <s v="Match"/>
  </r>
  <r>
    <s v="ORD-2024-10580"/>
    <d v="2024-06-19T00:00:00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n v="1"/>
    <s v="Unique"/>
    <n v="0"/>
    <n v="3202.41"/>
    <n v="593.9699999999998"/>
    <n v="0.18547593843386695"/>
    <x v="2"/>
    <x v="0"/>
    <s v="Clean"/>
    <s v="Match"/>
    <s v="Match"/>
  </r>
  <r>
    <s v="ORD-2025-10581"/>
    <d v="2025-03-06T00:00:00"/>
    <d v="2025-03-13T00:00:00"/>
    <n v="7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1"/>
    <s v="Unique"/>
    <n v="0.15"/>
    <n v="417.48599999999999"/>
    <n v="155.81599999999997"/>
    <n v="0.37322449136018926"/>
    <x v="11"/>
    <x v="1"/>
    <s v="Clean"/>
    <s v="Match"/>
    <s v="Match"/>
  </r>
  <r>
    <s v="ORD-2025-10582"/>
    <d v="2025-08-09T00:00:00"/>
    <d v="2025-08-10T00:00:00"/>
    <n v="1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1"/>
    <s v="Unique"/>
    <n v="0"/>
    <n v="16323.8"/>
    <n v="6358.0099999999984"/>
    <n v="0.38949325524693995"/>
    <x v="1"/>
    <x v="1"/>
    <s v="Clean"/>
    <s v="Match"/>
    <s v="Match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1"/>
    <s v="Unique"/>
    <n v="0"/>
    <n v="3356.2"/>
    <n v="1150.48"/>
    <n v="0.34279244383528995"/>
    <x v="9"/>
    <x v="0"/>
    <s v="Clean"/>
    <s v="Match"/>
    <s v="Match"/>
  </r>
  <r>
    <s v="ORD-2024-10584"/>
    <d v="2024-02-28T00:00:00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1"/>
    <s v="Unique"/>
    <n v="0.2"/>
    <n v="2101.4720000000002"/>
    <n v="883.64200000000028"/>
    <n v="0.42048716328364127"/>
    <x v="6"/>
    <x v="0"/>
    <s v="Clean"/>
    <s v="Match"/>
    <s v="Match"/>
  </r>
  <r>
    <s v="ORD-2024-10585"/>
    <d v="2024-08-04T00:00:00"/>
    <d v="2024-08-10T00:00:00"/>
    <n v="6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1"/>
    <s v="Unique"/>
    <n v="0.15"/>
    <n v="837.19049999999993"/>
    <n v="253.40049999999997"/>
    <n v="0.30267961712417901"/>
    <x v="1"/>
    <x v="0"/>
    <s v="Clean"/>
    <s v="Match"/>
    <s v="Match"/>
  </r>
  <r>
    <s v="ORD-2025-10586"/>
    <d v="2025-06-22T00:00:00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1"/>
    <s v="Unique"/>
    <n v="0"/>
    <n v="27629.279999999999"/>
    <n v="5602.7999999999993"/>
    <n v="0.20278487170132553"/>
    <x v="2"/>
    <x v="1"/>
    <s v="Clean"/>
    <s v="Match"/>
    <s v="Match"/>
  </r>
  <r>
    <s v="ORD-2025-10587"/>
    <d v="2025-04-12T00:00:00"/>
    <d v="2025-04-12T00:00:00"/>
    <n v="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1"/>
    <s v="Unique"/>
    <n v="0.2"/>
    <n v="7471.52"/>
    <n v="1287.2000000000007"/>
    <n v="0.17228087457438387"/>
    <x v="5"/>
    <x v="1"/>
    <s v="Clean"/>
    <s v="Match"/>
    <s v="Match"/>
  </r>
  <r>
    <s v="ORD-2025-10588"/>
    <d v="2025-07-23T00:00:00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n v="1"/>
    <s v="Unique"/>
    <n v="0.15"/>
    <n v="3615.7640000000001"/>
    <n v="664.24400000000014"/>
    <n v="0.18370778623826114"/>
    <x v="0"/>
    <x v="1"/>
    <s v="Clean"/>
    <s v="Match"/>
    <s v="Match"/>
  </r>
  <r>
    <s v="ORD-2025-10589"/>
    <d v="2025-03-11T00:00:00"/>
    <d v="2025-03-15T00:00:00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1"/>
    <s v="Unique"/>
    <n v="0.1"/>
    <n v="32013.791999999998"/>
    <n v="11116.911999999997"/>
    <n v="0.34725383359771933"/>
    <x v="11"/>
    <x v="1"/>
    <s v="Clean"/>
    <s v="Match"/>
    <s v="Match"/>
  </r>
  <r>
    <s v="ORD-2024-10590"/>
    <d v="2024-12-06T00:00:00"/>
    <d v="2024-12-12T00:00:00"/>
    <n v="6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1"/>
    <s v="Unique"/>
    <n v="0"/>
    <n v="1574.25"/>
    <n v="248.13000000000011"/>
    <n v="0.15761791329204389"/>
    <x v="8"/>
    <x v="0"/>
    <s v="Clean"/>
    <s v="Match"/>
    <s v="Match"/>
  </r>
  <r>
    <s v="ORD-2024-10591"/>
    <d v="2024-05-29T00:00:00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n v="1"/>
    <s v="Unique"/>
    <n v="0"/>
    <n v="20582.099999999999"/>
    <n v="4684.4499999999989"/>
    <n v="0.22759825285077806"/>
    <x v="4"/>
    <x v="0"/>
    <s v="Clean"/>
    <s v="Match"/>
    <s v="Match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n v="1"/>
    <s v="Unique"/>
    <n v="0"/>
    <n v="10635.24"/>
    <n v="4603.3599999999997"/>
    <n v="0.43284025560307055"/>
    <x v="6"/>
    <x v="0"/>
    <s v="Clean"/>
    <s v="Match"/>
    <s v="Match"/>
  </r>
  <r>
    <s v="ORD-2024-10593"/>
    <d v="2024-03-04T00:00:00"/>
    <d v="2024-03-09T00:00:00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1"/>
    <s v="Unique"/>
    <n v="0.15"/>
    <n v="29929.588"/>
    <n v="7493.5580000000009"/>
    <n v="0.25037290857461858"/>
    <x v="11"/>
    <x v="0"/>
    <s v="Clean"/>
    <s v="Match"/>
    <s v="Match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1"/>
    <s v="Unique"/>
    <n v="0.25"/>
    <n v="27675.7425"/>
    <n v="12104.6625"/>
    <n v="0.4373744444254748"/>
    <x v="7"/>
    <x v="1"/>
    <s v="Clean"/>
    <s v="Match"/>
    <s v="Match"/>
  </r>
  <r>
    <s v="ORD-2024-10595"/>
    <d v="2024-09-19T00:00:00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1"/>
    <s v="Unique"/>
    <n v="0"/>
    <n v="11945.28"/>
    <n v="2244.9700000000012"/>
    <n v="0.18793782983739193"/>
    <x v="7"/>
    <x v="0"/>
    <s v="Clean"/>
    <s v="Match"/>
    <s v="Match"/>
  </r>
  <r>
    <s v="ORD-2025-10596"/>
    <d v="2025-02-11T00:00:00"/>
    <d v="2025-02-16T00:00:00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n v="1"/>
    <s v="Unique"/>
    <n v="0.1"/>
    <n v="13144.031999999999"/>
    <n v="3380.0319999999992"/>
    <n v="0.25715336055176974"/>
    <x v="6"/>
    <x v="1"/>
    <s v="Clean"/>
    <s v="Match"/>
    <s v="Match"/>
  </r>
  <r>
    <s v="ORD-2024-10597"/>
    <d v="2024-04-10T00:00:00"/>
    <d v="2024-04-16T00:00:00"/>
    <n v="6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1"/>
    <s v="Unique"/>
    <n v="0.25"/>
    <n v="18382.005000000005"/>
    <n v="5273.8050000000039"/>
    <n v="0.28690042245119629"/>
    <x v="5"/>
    <x v="0"/>
    <s v="Clean"/>
    <s v="Match"/>
    <s v="Match"/>
  </r>
  <r>
    <s v="ORD-2025-10598"/>
    <d v="2025-07-08T00:00:00"/>
    <d v="2025-07-08T00:00:00"/>
    <n v="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1"/>
    <s v="Unique"/>
    <n v="0.25"/>
    <n v="1855.44"/>
    <n v="592.70000000000005"/>
    <n v="0.3194390548872505"/>
    <x v="0"/>
    <x v="1"/>
    <s v="Clean"/>
    <s v="Match"/>
    <s v="Match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1"/>
    <s v="Unique"/>
    <n v="0.25"/>
    <n v="3354.0524999999998"/>
    <n v="681.38249999999971"/>
    <n v="0.20315200790685289"/>
    <x v="1"/>
    <x v="0"/>
    <s v="Clean"/>
    <s v="Match"/>
    <s v="Match"/>
  </r>
  <r>
    <s v="ORD-2024-10600"/>
    <d v="2024-08-19T00:00:00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n v="1"/>
    <s v="Unique"/>
    <n v="0.25"/>
    <n v="2482.9650000000001"/>
    <n v="861.24500000000012"/>
    <n v="0.34686151435884116"/>
    <x v="1"/>
    <x v="0"/>
    <s v="Clean"/>
    <s v="Match"/>
    <s v="Match"/>
  </r>
  <r>
    <s v="ORD-2025-10601"/>
    <d v="2025-03-05T00:00:00"/>
    <d v="2025-03-12T00:00:00"/>
    <n v="7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n v="1"/>
    <s v="Unique"/>
    <n v="0"/>
    <n v="11048.25"/>
    <n v="1985.5300000000007"/>
    <n v="0.17971443441268986"/>
    <x v="11"/>
    <x v="1"/>
    <s v="Clean"/>
    <s v="Match"/>
    <s v="Match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1"/>
    <s v="Unique"/>
    <n v="0.2"/>
    <n v="6460.12"/>
    <n v="2856.0899999999997"/>
    <n v="0.44211098245853014"/>
    <x v="10"/>
    <x v="0"/>
    <s v="Clean"/>
    <s v="Match"/>
    <s v="Match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1"/>
    <s v="Unique"/>
    <n v="0.15"/>
    <n v="26192.223000000002"/>
    <n v="5396.6730000000025"/>
    <n v="0.20604104508426041"/>
    <x v="9"/>
    <x v="0"/>
    <s v="Clean"/>
    <s v="Match"/>
    <s v="Match"/>
  </r>
  <r>
    <s v="ORD-2025-10604"/>
    <d v="2025-01-03T00:00:00"/>
    <d v="2025-01-11T00:00:00"/>
    <n v="8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1"/>
    <s v="Unique"/>
    <n v="0.05"/>
    <n v="19564.603999999999"/>
    <n v="8410.0139999999992"/>
    <n v="0.42985863654587642"/>
    <x v="10"/>
    <x v="1"/>
    <s v="Clean"/>
    <s v="Match"/>
    <s v="Match"/>
  </r>
  <r>
    <s v="ORD-2025-10605"/>
    <d v="2025-02-05T00:00:00"/>
    <d v="2025-02-06T00:00:00"/>
    <n v="1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1"/>
    <s v="Unique"/>
    <n v="0"/>
    <n v="3228.8999999999996"/>
    <n v="1375.6699999999996"/>
    <n v="0.42604911889497965"/>
    <x v="6"/>
    <x v="1"/>
    <s v="Clean"/>
    <s v="Match"/>
    <s v="Match"/>
  </r>
  <r>
    <s v="ORD-2025-10606"/>
    <d v="2025-07-09T00:00:00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n v="1"/>
    <s v="Unique"/>
    <n v="0.85"/>
    <n v="1260.0075000000002"/>
    <n v="-5188.0424999999996"/>
    <n v="-4.1174695388717915"/>
    <x v="0"/>
    <x v="1"/>
    <s v="Clean"/>
    <s v="Mismatch"/>
    <s v="Mismatch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1"/>
    <s v="Unique"/>
    <n v="0.25"/>
    <n v="8754.3225000000002"/>
    <n v="2515.4225000000006"/>
    <n v="0.28733491369549163"/>
    <x v="6"/>
    <x v="1"/>
    <s v="Clean"/>
    <s v="Match"/>
    <s v="Match"/>
  </r>
  <r>
    <s v="ORD-2025-10608"/>
    <d v="2025-02-16T00:00:00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n v="1"/>
    <s v="Unique"/>
    <n v="0.15"/>
    <n v="4057.3474999999994"/>
    <n v="1195.3174999999992"/>
    <n v="0.29460565061286947"/>
    <x v="6"/>
    <x v="1"/>
    <s v="Clean"/>
    <s v="Match"/>
    <s v="Match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1"/>
    <s v="Unique"/>
    <n v="0"/>
    <n v="19383.75"/>
    <n v="7716.32"/>
    <n v="0.39808189849745274"/>
    <x v="2"/>
    <x v="0"/>
    <s v="Clean"/>
    <s v="Match"/>
    <s v="Match"/>
  </r>
  <r>
    <s v="ORD-2025-10610"/>
    <d v="2025-01-08T00:00:00"/>
    <d v="2025-01-12T00:00:00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1"/>
    <s v="Unique"/>
    <n v="0"/>
    <n v="30362.359999999997"/>
    <n v="5296.9599999999955"/>
    <n v="0.17445811195177174"/>
    <x v="10"/>
    <x v="1"/>
    <s v="Clean"/>
    <s v="Match"/>
    <s v="Match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1"/>
    <s v="Unique"/>
    <n v="0.1"/>
    <n v="2729.6549999999997"/>
    <n v="1014.2949999999998"/>
    <n v="0.37158358840219735"/>
    <x v="4"/>
    <x v="0"/>
    <s v="Clean"/>
    <s v="Match"/>
    <s v="Match"/>
  </r>
  <r>
    <s v="ORD-2025-10612"/>
    <d v="2025-07-08T00:00:00"/>
    <d v="2025-07-15T00:00:00"/>
    <n v="7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1"/>
    <s v="Unique"/>
    <n v="0.1"/>
    <n v="4718.0159999999996"/>
    <n v="809.7859999999996"/>
    <n v="0.17163697622051297"/>
    <x v="0"/>
    <x v="1"/>
    <s v="Clean"/>
    <s v="Match"/>
    <s v="Match"/>
  </r>
  <r>
    <s v="ORD-2025-10613"/>
    <d v="2025-04-06T00:00:00"/>
    <d v="2025-04-13T00:00:00"/>
    <n v="7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n v="1"/>
    <s v="Unique"/>
    <n v="0"/>
    <n v="3844.01"/>
    <n v="1648.2200000000003"/>
    <n v="0.42877619985379856"/>
    <x v="5"/>
    <x v="1"/>
    <s v="Clean"/>
    <s v="Match"/>
    <s v="Match"/>
  </r>
  <r>
    <s v="ORD-2024-10614"/>
    <d v="2024-10-05T00:00:0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1"/>
    <s v="Unique"/>
    <n v="0.25"/>
    <n v="22688.775000000001"/>
    <n v="8016.3650000000016"/>
    <n v="0.35331854628555315"/>
    <x v="9"/>
    <x v="0"/>
    <s v="Clean"/>
    <s v="Match"/>
    <s v="Match"/>
  </r>
  <r>
    <s v="ORD-2024-10615"/>
    <d v="2024-02-11T00:00:00"/>
    <d v="2024-02-19T00:00:00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n v="1"/>
    <s v="Unique"/>
    <n v="0.25"/>
    <n v="20389.920000000002"/>
    <n v="3728.84"/>
    <n v="0.18287663708342161"/>
    <x v="6"/>
    <x v="0"/>
    <s v="Clean"/>
    <s v="Match"/>
    <s v="Match"/>
  </r>
  <r>
    <s v="ORD-2024-10616"/>
    <d v="2024-10-04T00:00:00"/>
    <d v="2024-10-07T00:00:00"/>
    <n v="3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1"/>
    <s v="Unique"/>
    <n v="0.1"/>
    <n v="5659.884"/>
    <n v="1322.0940000000001"/>
    <n v="0.23359029973052453"/>
    <x v="9"/>
    <x v="0"/>
    <s v="Clean"/>
    <s v="Mismatch"/>
    <s v="Match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1"/>
    <s v="Unique"/>
    <n v="0.2"/>
    <n v="18842.640000000003"/>
    <n v="7002.0600000000031"/>
    <n v="0.37160716332743193"/>
    <x v="1"/>
    <x v="0"/>
    <s v="Clean"/>
    <s v="Match"/>
    <s v="Match"/>
  </r>
  <r>
    <s v="ORD-2024-10618"/>
    <d v="2024-09-29T00:00:00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1"/>
    <s v="Unique"/>
    <n v="0"/>
    <n v="24677.19"/>
    <n v="4326.34"/>
    <n v="0.17531736798233513"/>
    <x v="7"/>
    <x v="0"/>
    <s v="Clean"/>
    <s v="Match"/>
    <s v="Match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1"/>
    <s v="Unique"/>
    <n v="0.25"/>
    <n v="12623.242499999998"/>
    <n v="2082.4424999999992"/>
    <n v="0.16496890557239943"/>
    <x v="0"/>
    <x v="0"/>
    <s v="Clean"/>
    <s v="Match"/>
    <s v="Match"/>
  </r>
  <r>
    <s v="ORD-2024-10620"/>
    <d v="2024-11-22T00:00:00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1"/>
    <s v="Unique"/>
    <n v="0.2"/>
    <n v="3401.0080000000003"/>
    <n v="483.4680000000003"/>
    <n v="0.14215432601158254"/>
    <x v="3"/>
    <x v="0"/>
    <s v="Clean"/>
    <s v="Match"/>
    <s v="Match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1"/>
    <s v="Unique"/>
    <n v="0"/>
    <n v="6609.06"/>
    <n v="1662.2800000000007"/>
    <n v="0.25151534408826681"/>
    <x v="1"/>
    <x v="0"/>
    <s v="Clean"/>
    <s v="Match"/>
    <s v="Match"/>
  </r>
  <r>
    <s v="ORD-2024-10622"/>
    <d v="2024-11-28T00:00:00"/>
    <d v="2024-12-06T00:00:00"/>
    <n v="8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n v="1"/>
    <s v="Unique"/>
    <n v="0"/>
    <n v="5464.2"/>
    <n v="2146.1099999999997"/>
    <n v="0.39275831777753373"/>
    <x v="3"/>
    <x v="0"/>
    <s v="Clean"/>
    <s v="Match"/>
    <s v="Match"/>
  </r>
  <r>
    <s v="ORD-2025-10623"/>
    <d v="2025-01-29T00:00:00"/>
    <d v="2025-02-06T00:00:00"/>
    <n v="8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n v="1"/>
    <s v="Unique"/>
    <n v="0.05"/>
    <n v="10484.238000000001"/>
    <n v="3804.0880000000016"/>
    <n v="0.36283876806306775"/>
    <x v="10"/>
    <x v="1"/>
    <s v="Clean"/>
    <s v="Match"/>
    <s v="Match"/>
  </r>
  <r>
    <s v="ORD-2024-10624"/>
    <d v="2024-08-08T00:00:00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1"/>
    <s v="Unique"/>
    <n v="0.05"/>
    <n v="10329.843999999999"/>
    <n v="2817.6239999999989"/>
    <n v="0.27276539703794161"/>
    <x v="1"/>
    <x v="0"/>
    <s v="Clean"/>
    <s v="Match"/>
    <s v="Match"/>
  </r>
  <r>
    <s v="ORD-2024-10625"/>
    <d v="2024-01-30T00:00:00"/>
    <d v="2024-02-01T00:00:00"/>
    <n v="2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1"/>
    <s v="Unique"/>
    <n v="0.05"/>
    <n v="8456.9569999999985"/>
    <n v="2994.1069999999982"/>
    <n v="0.35404070282017502"/>
    <x v="10"/>
    <x v="0"/>
    <s v="Clean"/>
    <s v="Match"/>
    <s v="Match"/>
  </r>
  <r>
    <s v="ORD-2024-10626"/>
    <d v="2024-12-15T00:00:00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1"/>
    <s v="Unique"/>
    <n v="0.2"/>
    <n v="1266.4079999999999"/>
    <n v="282.48799999999994"/>
    <n v="0.22306239379410109"/>
    <x v="8"/>
    <x v="0"/>
    <s v="Clean"/>
    <s v="Match"/>
    <s v="Match"/>
  </r>
  <r>
    <s v="ORD-2025-10627"/>
    <d v="2025-06-04T00:00:00"/>
    <d v="2025-06-07T00:00:00"/>
    <n v="3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1"/>
    <s v="Unique"/>
    <n v="0"/>
    <n v="11473.04"/>
    <n v="2541.7100000000009"/>
    <n v="0.22153762211236086"/>
    <x v="2"/>
    <x v="1"/>
    <s v="Clean"/>
    <s v="Match"/>
    <s v="Match"/>
  </r>
  <r>
    <s v="ORD-2025-10628"/>
    <d v="2025-02-13T00:00:00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n v="1"/>
    <s v="Unique"/>
    <n v="0.15"/>
    <n v="4012.0339999999997"/>
    <n v="869.11399999999958"/>
    <n v="0.21662677833737193"/>
    <x v="6"/>
    <x v="1"/>
    <s v="Clean"/>
    <s v="Match"/>
    <s v="Match"/>
  </r>
  <r>
    <s v="ORD-2025-10629"/>
    <d v="2025-10-05T00:00:00"/>
    <d v="2025-10-12T00:00:00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1"/>
    <s v="Unique"/>
    <n v="0.05"/>
    <n v="5364.3554999999997"/>
    <n v="973.0654999999997"/>
    <n v="0.18139467080434915"/>
    <x v="9"/>
    <x v="1"/>
    <s v="Clean"/>
    <s v="Match"/>
    <s v="Match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1"/>
    <s v="Unique"/>
    <n v="0.15"/>
    <n v="10706.073"/>
    <n v="4778.973"/>
    <n v="0.44637963892082555"/>
    <x v="7"/>
    <x v="1"/>
    <s v="Clean"/>
    <s v="Match"/>
    <s v="Match"/>
  </r>
  <r>
    <s v="ORD-2024-10631"/>
    <d v="2024-04-09T00:00:00"/>
    <d v="2024-04-10T00:00:00"/>
    <n v="1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1"/>
    <s v="Unique"/>
    <n v="0.1"/>
    <n v="10969.380000000001"/>
    <n v="1714.9200000000019"/>
    <n v="0.15633700354988173"/>
    <x v="5"/>
    <x v="0"/>
    <s v="Clean"/>
    <s v="Match"/>
    <s v="Match"/>
  </r>
  <r>
    <s v="ORD-2024-10632"/>
    <d v="2024-04-10T00:00:00"/>
    <d v="2024-04-15T00:00:00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n v="1"/>
    <s v="Unique"/>
    <n v="0.1"/>
    <n v="31409.855999999996"/>
    <n v="8886.3159999999953"/>
    <n v="0.2829148914277097"/>
    <x v="5"/>
    <x v="0"/>
    <s v="Clean"/>
    <s v="Match"/>
    <s v="Match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1"/>
    <s v="Unique"/>
    <n v="0"/>
    <n v="14252.650000000001"/>
    <n v="2694.340000000002"/>
    <n v="0.18904133617257154"/>
    <x v="5"/>
    <x v="1"/>
    <s v="Clean"/>
    <s v="Match"/>
    <s v="Match"/>
  </r>
  <r>
    <s v="ORD-2025-10634"/>
    <d v="2025-04-18T00:00:00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1"/>
    <s v="Unique"/>
    <n v="0.15"/>
    <n v="1382.1679999999999"/>
    <n v="572.13799999999992"/>
    <n v="0.4139424440444287"/>
    <x v="5"/>
    <x v="1"/>
    <s v="Clean"/>
    <s v="Match"/>
    <s v="Match"/>
  </r>
  <r>
    <s v="ORD-2025-10635"/>
    <d v="2025-01-11T00:00:00"/>
    <d v="2025-01-12T00:00:00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1"/>
    <s v="Unique"/>
    <n v="0.05"/>
    <n v="9223.17"/>
    <n v="4119.47"/>
    <n v="0.44664361602355807"/>
    <x v="10"/>
    <x v="1"/>
    <s v="Clean"/>
    <s v="Match"/>
    <s v="Match"/>
  </r>
  <r>
    <s v="ORD-2024-10636"/>
    <d v="2024-05-20T00:00:00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1"/>
    <s v="Unique"/>
    <n v="0.25"/>
    <n v="16394.962500000001"/>
    <n v="5990.7925000000014"/>
    <n v="0.36540446493854445"/>
    <x v="4"/>
    <x v="0"/>
    <s v="Clean"/>
    <s v="Match"/>
    <s v="Match"/>
  </r>
  <r>
    <s v="ORD-2024-10637"/>
    <d v="2024-10-02T00:00:00"/>
    <d v="2024-10-09T00:00:00"/>
    <n v="7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1"/>
    <s v="Unique"/>
    <n v="0.15"/>
    <n v="12990.108"/>
    <n v="2789.3080000000009"/>
    <n v="0.2147255434673831"/>
    <x v="9"/>
    <x v="0"/>
    <s v="Clean"/>
    <s v="Match"/>
    <s v="Match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1"/>
    <s v="Unique"/>
    <n v="0.2"/>
    <n v="5107.9520000000002"/>
    <n v="1974.8720000000003"/>
    <n v="0.38662696908663202"/>
    <x v="4"/>
    <x v="0"/>
    <s v="Clean"/>
    <s v="Match"/>
    <s v="Match"/>
  </r>
  <r>
    <s v="ORD-2024-10639"/>
    <d v="2024-01-26T00:00:00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n v="1"/>
    <s v="Unique"/>
    <n v="0.2"/>
    <n v="7738.3680000000013"/>
    <n v="3111.5180000000009"/>
    <n v="0.40208969126306743"/>
    <x v="10"/>
    <x v="0"/>
    <s v="Clean"/>
    <s v="Match"/>
    <s v="Match"/>
  </r>
  <r>
    <s v="ORD-2024-10640"/>
    <d v="2024-12-27T00:00:00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n v="1"/>
    <s v="Unique"/>
    <n v="0.05"/>
    <n v="1514.9649999999999"/>
    <n v="468.79499999999985"/>
    <n v="0.3094427924077453"/>
    <x v="8"/>
    <x v="0"/>
    <s v="Clean"/>
    <s v="Match"/>
    <s v="Match"/>
  </r>
  <r>
    <s v="ORD-2025-10641"/>
    <d v="2025-01-14T00:00:00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n v="1"/>
    <s v="Unique"/>
    <n v="0.2"/>
    <n v="1267.296"/>
    <n v="343.76600000000008"/>
    <n v="0.27125943741635739"/>
    <x v="10"/>
    <x v="1"/>
    <s v="Clean"/>
    <s v="Match"/>
    <s v="Match"/>
  </r>
  <r>
    <s v="ORD-2025-10642"/>
    <d v="2025-04-09T00:00:00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1"/>
    <s v="Unique"/>
    <n v="0"/>
    <n v="6405.74"/>
    <n v="2843.87"/>
    <n v="0.44395651400150488"/>
    <x v="5"/>
    <x v="1"/>
    <s v="Clean"/>
    <s v="Match"/>
    <s v="Match"/>
  </r>
  <r>
    <s v="ORD-2024-10643"/>
    <d v="2024-08-29T00:00:00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1"/>
    <s v="Unique"/>
    <n v="0.25"/>
    <n v="8607.6674999999996"/>
    <n v="3270.0274999999992"/>
    <n v="0.37989705108846261"/>
    <x v="1"/>
    <x v="0"/>
    <s v="Clean"/>
    <s v="Match"/>
    <s v="Match"/>
  </r>
  <r>
    <s v="ORD-2024-10644"/>
    <d v="2024-02-05T00:00:00"/>
    <d v="2024-02-13T00:00:00"/>
    <n v="8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1"/>
    <s v="Unique"/>
    <n v="0.15"/>
    <n v="26324.023999999998"/>
    <n v="10046.063999999998"/>
    <n v="0.3816310150758106"/>
    <x v="6"/>
    <x v="0"/>
    <s v="Clean"/>
    <s v="Match"/>
    <s v="Match"/>
  </r>
  <r>
    <s v="ORD-2025-10645"/>
    <d v="2025-04-10T00:00:00"/>
    <d v="2025-04-17T00:00:00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1"/>
    <s v="Unique"/>
    <n v="0.05"/>
    <n v="14250.075999999999"/>
    <n v="3335.155999999999"/>
    <n v="0.23404478684885605"/>
    <x v="5"/>
    <x v="1"/>
    <s v="Clean"/>
    <s v="Match"/>
    <s v="Match"/>
  </r>
  <r>
    <s v="ORD-2024-10646"/>
    <d v="2024-01-04T00:00:00"/>
    <d v="2024-01-09T00:00:00"/>
    <n v="5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1"/>
    <s v="Unique"/>
    <n v="0.1"/>
    <n v="13087.494000000001"/>
    <n v="5478.6040000000003"/>
    <n v="0.41861367806548755"/>
    <x v="10"/>
    <x v="0"/>
    <s v="Clean"/>
    <s v="Match"/>
    <s v="Mismatch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1"/>
    <s v="Unique"/>
    <n v="0.25"/>
    <n v="1640.5650000000001"/>
    <n v="503.58500000000004"/>
    <n v="0.30695827352162214"/>
    <x v="7"/>
    <x v="0"/>
    <s v="Clean"/>
    <s v="Match"/>
    <s v="Match"/>
  </r>
  <r>
    <s v="ORD-2025-10648"/>
    <d v="2025-01-01T00:00:00"/>
    <d v="2025-01-09T00:00:00"/>
    <n v="8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1"/>
    <s v="Unique"/>
    <n v="0.15"/>
    <n v="14441.907999999999"/>
    <n v="3569.018"/>
    <n v="0.24712925743606731"/>
    <x v="10"/>
    <x v="1"/>
    <s v="Clean"/>
    <s v="Match"/>
    <s v="Match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n v="1"/>
    <s v="Unique"/>
    <n v="0.2"/>
    <n v="5065.8480000000009"/>
    <n v="1548.6180000000008"/>
    <n v="0.30569768378364304"/>
    <x v="5"/>
    <x v="0"/>
    <s v="Clean"/>
    <s v="Match"/>
    <s v="Match"/>
  </r>
  <r>
    <s v="ORD-2025-10650"/>
    <d v="2025-08-11T00:00:00"/>
    <d v="2025-08-19T00:00:00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n v="1"/>
    <s v="Unique"/>
    <n v="0.25"/>
    <n v="6776.88"/>
    <n v="2940.6400000000003"/>
    <n v="0.43392239496641527"/>
    <x v="1"/>
    <x v="1"/>
    <s v="Clean"/>
    <s v="Match"/>
    <s v="Match"/>
  </r>
  <r>
    <s v="ORD-2024-10651"/>
    <d v="2024-04-13T00:00:00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1"/>
    <s v="Unique"/>
    <n v="0.15"/>
    <n v="15760.121999999999"/>
    <n v="5828.5919999999987"/>
    <n v="0.36983165485647884"/>
    <x v="5"/>
    <x v="0"/>
    <s v="Clean"/>
    <s v="Match"/>
    <s v="Match"/>
  </r>
  <r>
    <s v="ORD-2025-10652"/>
    <d v="2025-08-06T00:00:00"/>
    <d v="2025-08-09T00:00:00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1"/>
    <s v="Unique"/>
    <n v="0"/>
    <n v="1795.6499999999999"/>
    <n v="798.92999999999984"/>
    <n v="0.44492523598696843"/>
    <x v="1"/>
    <x v="1"/>
    <s v="Clean"/>
    <s v="Match"/>
    <s v="Match"/>
  </r>
  <r>
    <s v="ORD-2025-10653"/>
    <d v="2025-03-17T00:00:00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1"/>
    <s v="Unique"/>
    <n v="0.15"/>
    <n v="18362.5075"/>
    <n v="7228.5375000000004"/>
    <n v="0.39365742941153326"/>
    <x v="11"/>
    <x v="1"/>
    <s v="Clean"/>
    <s v="Match"/>
    <s v="Match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1"/>
    <s v="Unique"/>
    <n v="0.15"/>
    <n v="26524.683500000003"/>
    <n v="5950.3835000000036"/>
    <n v="0.22433381721595294"/>
    <x v="5"/>
    <x v="1"/>
    <s v="Clean"/>
    <s v="Match"/>
    <s v="Match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1"/>
    <s v="Unique"/>
    <n v="0.2"/>
    <n v="2056.0480000000002"/>
    <n v="393.65800000000013"/>
    <n v="0.19146342886936496"/>
    <x v="9"/>
    <x v="1"/>
    <s v="Clean"/>
    <s v="Match"/>
    <s v="Match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1"/>
    <s v="Unique"/>
    <n v="0"/>
    <n v="8607.2800000000007"/>
    <n v="3483.2700000000004"/>
    <n v="0.40468882155570635"/>
    <x v="1"/>
    <x v="1"/>
    <s v="Clean"/>
    <s v="Match"/>
    <s v="Match"/>
  </r>
  <r>
    <s v="ORD-2024-10657"/>
    <d v="2024-05-07T00:00:00"/>
    <d v="2024-05-14T00:00:00"/>
    <n v="7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1"/>
    <s v="Unique"/>
    <n v="-0.05"/>
    <n v="11554.62"/>
    <n v="3858.3400000000011"/>
    <n v="0.33392184251840396"/>
    <x v="4"/>
    <x v="0"/>
    <s v="Invalid"/>
    <s v="Mismatch"/>
    <s v="Mismatch"/>
  </r>
  <r>
    <s v="ORD-2025-10658"/>
    <d v="2025-08-07T00:00:00"/>
    <d v="2025-08-10T00:00:00"/>
    <n v="3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1"/>
    <s v="Unique"/>
    <n v="0.2"/>
    <n v="2033"/>
    <n v="741.58999999999992"/>
    <n v="0.36477619281849477"/>
    <x v="1"/>
    <x v="1"/>
    <s v="Clean"/>
    <s v="Match"/>
    <s v="Match"/>
  </r>
  <r>
    <s v="ORD-2025-10659"/>
    <d v="2025-06-09T00:00:00"/>
    <d v="2025-06-12T00:00:00"/>
    <n v="3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1"/>
    <s v="Unique"/>
    <n v="0"/>
    <n v="19966.940000000002"/>
    <n v="7276.1100000000024"/>
    <n v="0.36440786620283339"/>
    <x v="2"/>
    <x v="1"/>
    <s v="Clean"/>
    <s v="Match"/>
    <s v="Match"/>
  </r>
  <r>
    <s v="ORD-2025-10660"/>
    <d v="2025-01-21T00:00:00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n v="1"/>
    <s v="Unique"/>
    <n v="0.2"/>
    <n v="710.89600000000007"/>
    <n v="197.01600000000008"/>
    <n v="0.27713758411919615"/>
    <x v="10"/>
    <x v="1"/>
    <s v="Clean"/>
    <s v="Match"/>
    <s v="Match"/>
  </r>
  <r>
    <s v="ORD-2025-10661"/>
    <d v="2025-07-15T00:00:00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n v="1"/>
    <s v="Unique"/>
    <n v="0.1"/>
    <n v="15994.476000000001"/>
    <n v="6770.1959999999999"/>
    <n v="0.42328338858991066"/>
    <x v="0"/>
    <x v="1"/>
    <s v="Clean"/>
    <s v="Match"/>
    <s v="Match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1"/>
    <s v="Unique"/>
    <n v="0"/>
    <n v="1627.5"/>
    <n v="687.6"/>
    <n v="0.4224884792626728"/>
    <x v="4"/>
    <x v="0"/>
    <s v="Clean"/>
    <s v="Match"/>
    <s v="Match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1"/>
    <s v="Unique"/>
    <n v="0.1"/>
    <n v="9637.92"/>
    <n v="2308.63"/>
    <n v="0.2395361239769577"/>
    <x v="10"/>
    <x v="0"/>
    <s v="Clean"/>
    <s v="Match"/>
    <s v="Match"/>
  </r>
  <r>
    <s v="ORD-2024-10664"/>
    <d v="2024-05-02T00:00:00"/>
    <d v="2024-05-08T00:00:00"/>
    <n v="6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1"/>
    <s v="Unique"/>
    <n v="-0.24"/>
    <n v="7898.8248000000003"/>
    <n v="4745.8448000000008"/>
    <n v="0.60082922715287979"/>
    <x v="4"/>
    <x v="0"/>
    <s v="Invalid"/>
    <s v="Mismatch"/>
    <s v="Mismatch"/>
  </r>
  <r>
    <s v="ORD-2024-10665"/>
    <d v="2024-12-07T00:00:00"/>
    <d v="2024-12-10T00:00:0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1"/>
    <s v="Unique"/>
    <n v="0.2"/>
    <n v="1527.0640000000001"/>
    <n v="471.17399999999998"/>
    <n v="0.30854895407134209"/>
    <x v="8"/>
    <x v="0"/>
    <s v="Clean"/>
    <s v="Match"/>
    <s v="Match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1"/>
    <s v="Unique"/>
    <n v="0.1"/>
    <n v="5698.4039999999995"/>
    <n v="2057.5139999999997"/>
    <n v="0.36106846759197836"/>
    <x v="10"/>
    <x v="1"/>
    <s v="Clean"/>
    <s v="Match"/>
    <s v="Match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1"/>
    <s v="Unique"/>
    <n v="0.05"/>
    <n v="265.83849999999995"/>
    <n v="42.348499999999945"/>
    <n v="0.15930160605028976"/>
    <x v="2"/>
    <x v="0"/>
    <s v="Clean"/>
    <s v="Match"/>
    <s v="Match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n v="1"/>
    <s v="Unique"/>
    <n v="0"/>
    <n v="3959.14"/>
    <n v="719.60999999999967"/>
    <n v="0.18175916992074029"/>
    <x v="4"/>
    <x v="1"/>
    <s v="Clean"/>
    <s v="Match"/>
    <s v="Match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1"/>
    <s v="Unique"/>
    <n v="0.2"/>
    <n v="2401.84"/>
    <n v="528.73000000000025"/>
    <n v="0.22013539619624964"/>
    <x v="3"/>
    <x v="0"/>
    <s v="Clean"/>
    <s v="Match"/>
    <s v="Match"/>
  </r>
  <r>
    <s v="ORD-2024-10670"/>
    <d v="2024-03-24T00:00:00"/>
    <d v="2024-04-01T00:00:00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1"/>
    <s v="Unique"/>
    <n v="0.25"/>
    <n v="5102.16"/>
    <n v="1875.71"/>
    <n v="0.36763057214983458"/>
    <x v="11"/>
    <x v="0"/>
    <s v="Clean"/>
    <s v="Match"/>
    <s v="Match"/>
  </r>
  <r>
    <s v="ORD-2025-10671"/>
    <d v="2025-02-02T00:00:00"/>
    <d v="2025-02-06T00:00:00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1"/>
    <s v="Unique"/>
    <n v="0.1"/>
    <n v="6176.5920000000006"/>
    <n v="2615.6320000000005"/>
    <n v="0.42347495188285067"/>
    <x v="6"/>
    <x v="1"/>
    <s v="Clean"/>
    <s v="Match"/>
    <s v="Match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1"/>
    <s v="Unique"/>
    <n v="0.05"/>
    <n v="31203.310500000003"/>
    <n v="13465.180500000002"/>
    <n v="0.43153051020019179"/>
    <x v="11"/>
    <x v="0"/>
    <s v="Clean"/>
    <s v="Match"/>
    <s v="Match"/>
  </r>
  <r>
    <s v="ORD-2024-10673"/>
    <d v="2024-09-04T00:00:00"/>
    <d v="2024-09-05T00:00:00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1"/>
    <s v="Unique"/>
    <n v="0.05"/>
    <n v="12010.5175"/>
    <n v="4145.9075000000003"/>
    <n v="0.34518974723612039"/>
    <x v="7"/>
    <x v="0"/>
    <s v="Clean"/>
    <s v="Match"/>
    <s v="Match"/>
  </r>
  <r>
    <s v="ORD-2025-10674"/>
    <d v="2025-02-13T00:00:00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1"/>
    <s v="Unique"/>
    <n v="0.15"/>
    <n v="13847.86"/>
    <n v="5376.08"/>
    <n v="0.38822460654570451"/>
    <x v="6"/>
    <x v="1"/>
    <s v="Clean"/>
    <s v="Match"/>
    <s v="Match"/>
  </r>
  <r>
    <s v="ORD-2024-10675"/>
    <d v="2024-05-18T00:00:00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1"/>
    <s v="Unique"/>
    <n v="0"/>
    <n v="1033.71"/>
    <n v="402.89"/>
    <n v="0.38975147768716562"/>
    <x v="4"/>
    <x v="0"/>
    <s v="Clean"/>
    <s v="Match"/>
    <s v="Match"/>
  </r>
  <r>
    <s v="ORD-2025-10676"/>
    <d v="2025-06-07T00:00:00"/>
    <d v="2025-06-10T00:00:00"/>
    <n v="3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1"/>
    <s v="Unique"/>
    <n v="0"/>
    <n v="2889.7799999999997"/>
    <n v="1078.5499999999997"/>
    <n v="0.37322910394562903"/>
    <x v="2"/>
    <x v="1"/>
    <s v="Clean"/>
    <s v="Match"/>
    <s v="Match"/>
  </r>
  <r>
    <s v="ORD-2025-10677"/>
    <d v="2025-09-11T00:00:00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1"/>
    <s v="Unique"/>
    <n v="0.15"/>
    <n v="20296.699499999999"/>
    <n v="5375.829499999998"/>
    <n v="0.26486225014071862"/>
    <x v="7"/>
    <x v="1"/>
    <s v="Clean"/>
    <s v="Match"/>
    <s v="Match"/>
  </r>
  <r>
    <s v="ORD-2024-10678"/>
    <d v="2024-06-22T00:00:00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n v="1"/>
    <s v="Unique"/>
    <n v="0"/>
    <n v="18364.36"/>
    <n v="2918.5500000000011"/>
    <n v="0.15892467801763857"/>
    <x v="2"/>
    <x v="0"/>
    <s v="Clean"/>
    <s v="Match"/>
    <s v="Match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1"/>
    <s v="Unique"/>
    <n v="0.15"/>
    <n v="21141.6165"/>
    <n v="9465.2865000000002"/>
    <n v="0.44770874071999178"/>
    <x v="3"/>
    <x v="0"/>
    <s v="Clean"/>
    <s v="Match"/>
    <s v="Match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n v="1"/>
    <s v="Unique"/>
    <n v="0.7"/>
    <n v="1692.6840000000002"/>
    <n v="-2188.826"/>
    <n v="-1.2931096412561351"/>
    <x v="1"/>
    <x v="1"/>
    <s v="Clean"/>
    <s v="Mismatch"/>
    <s v="Mismatch"/>
  </r>
  <r>
    <s v="ORD-2024-10681"/>
    <d v="2024-05-29T00:00:00"/>
    <d v="2024-06-05T00:00:00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1"/>
    <s v="Unique"/>
    <n v="0"/>
    <n v="14800.96"/>
    <n v="2752.5699999999997"/>
    <n v="0.18597239638509933"/>
    <x v="4"/>
    <x v="0"/>
    <s v="Clean"/>
    <s v="Match"/>
    <s v="Match"/>
  </r>
  <r>
    <s v="ORD-2024-10682"/>
    <d v="2024-07-04T00:00:00"/>
    <d v="2024-07-10T00:00:00"/>
    <n v="6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1"/>
    <s v="Unique"/>
    <n v="0"/>
    <n v="6001.35"/>
    <n v="1818.3600000000006"/>
    <n v="0.30299182683896131"/>
    <x v="0"/>
    <x v="0"/>
    <s v="Clean"/>
    <s v="Match"/>
    <s v="Match"/>
  </r>
  <r>
    <s v="ORD-2025-10683"/>
    <d v="2025-02-05T00:00:00"/>
    <d v="2025-02-05T00:00:00"/>
    <n v="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n v="1"/>
    <s v="Unique"/>
    <n v="0"/>
    <n v="7772.34"/>
    <n v="3658.6800000000003"/>
    <n v="0.47073082237781677"/>
    <x v="6"/>
    <x v="1"/>
    <s v="Clean"/>
    <s v="Mismatch"/>
    <s v="Mismatch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n v="1"/>
    <s v="Unique"/>
    <n v="0.2"/>
    <n v="7902.9600000000009"/>
    <n v="2390.9300000000012"/>
    <n v="0.30253601182341816"/>
    <x v="0"/>
    <x v="1"/>
    <s v="Clean"/>
    <s v="Match"/>
    <s v="Match"/>
  </r>
  <r>
    <s v="ORD-2025-10685"/>
    <d v="2025-07-21T00:00:00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n v="1"/>
    <s v="Unique"/>
    <n v="0.2"/>
    <n v="24621.239999999998"/>
    <n v="7465.7599999999984"/>
    <n v="0.3032243705028666"/>
    <x v="0"/>
    <x v="1"/>
    <s v="Clean"/>
    <s v="Match"/>
    <s v="Match"/>
  </r>
  <r>
    <s v="ORD-2025-10686"/>
    <d v="2025-10-01T00:00:00"/>
    <d v="2025-10-03T00:00:00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1"/>
    <s v="Unique"/>
    <n v="0.55000000000000004"/>
    <n v="3313.5074999999993"/>
    <n v="-2293.2825000000007"/>
    <n v="-0.69210119488185895"/>
    <x v="9"/>
    <x v="1"/>
    <s v="Clean"/>
    <s v="Mismatch"/>
    <s v="Mismatch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1"/>
    <s v="Unique"/>
    <n v="0"/>
    <n v="4698.26"/>
    <n v="2043.3400000000001"/>
    <n v="0.43491420227914163"/>
    <x v="11"/>
    <x v="0"/>
    <s v="Clean"/>
    <s v="Match"/>
    <s v="Match"/>
  </r>
  <r>
    <s v="ORD-2025-10688"/>
    <d v="2025-10-08T00:00:00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n v="1"/>
    <s v="Unique"/>
    <n v="0"/>
    <n v="688.2"/>
    <n v="190.52000000000004"/>
    <n v="0.27683812845103173"/>
    <x v="9"/>
    <x v="1"/>
    <s v="Clean"/>
    <s v="Match"/>
    <s v="Match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1"/>
    <s v="Unique"/>
    <n v="0.15"/>
    <n v="15492.065999999999"/>
    <n v="2910.8359999999993"/>
    <n v="0.18789204745190213"/>
    <x v="6"/>
    <x v="1"/>
    <s v="Clean"/>
    <s v="Match"/>
    <s v="Match"/>
  </r>
  <r>
    <s v="ORD-2024-10690"/>
    <d v="2024-10-05T00:00:00"/>
    <d v="2024-10-06T00:00:00"/>
    <n v="1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1"/>
    <s v="Unique"/>
    <n v="0.15"/>
    <n v="3745.2870000000003"/>
    <n v="1442.6370000000002"/>
    <n v="0.38518730340291679"/>
    <x v="9"/>
    <x v="0"/>
    <s v="Clean"/>
    <s v="Match"/>
    <s v="Match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1"/>
    <s v="Unique"/>
    <n v="0"/>
    <n v="3462.52"/>
    <n v="665.23"/>
    <n v="0.19212307798944123"/>
    <x v="7"/>
    <x v="0"/>
    <s v="Clean"/>
    <s v="Match"/>
    <s v="Match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1"/>
    <s v="Unique"/>
    <n v="0.05"/>
    <n v="8767.1699999999983"/>
    <n v="3668.9699999999984"/>
    <n v="0.41848966085977563"/>
    <x v="8"/>
    <x v="0"/>
    <s v="Clean"/>
    <s v="Match"/>
    <s v="Match"/>
  </r>
  <r>
    <s v="ORD-2025-10693"/>
    <d v="2025-10-05T00:00:00"/>
    <d v="2025-10-10T00:00:0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1"/>
    <s v="Unique"/>
    <n v="0.1"/>
    <n v="8516.4480000000003"/>
    <n v="2612.6379999999999"/>
    <n v="0.30677554774009069"/>
    <x v="9"/>
    <x v="1"/>
    <s v="Clean"/>
    <s v="Match"/>
    <s v="Match"/>
  </r>
  <r>
    <s v="ORD-2025-10694"/>
    <d v="2025-04-03T00:00:00"/>
    <d v="2025-04-11T00:00:00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1"/>
    <s v="Unique"/>
    <n v="0.05"/>
    <n v="11826.844500000001"/>
    <n v="3790.884500000001"/>
    <n v="0.32053220112938835"/>
    <x v="5"/>
    <x v="1"/>
    <s v="Clean"/>
    <s v="Match"/>
    <s v="Match"/>
  </r>
  <r>
    <s v="ORD-2025-10695"/>
    <d v="2025-08-01T00:00:00"/>
    <d v="2025-08-09T00:00:00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1"/>
    <s v="Unique"/>
    <n v="0.15"/>
    <n v="11629.019999999999"/>
    <n v="2001.8099999999995"/>
    <n v="0.17213918283741877"/>
    <x v="1"/>
    <x v="1"/>
    <s v="Clean"/>
    <s v="Match"/>
    <s v="Match"/>
  </r>
  <r>
    <s v="ORD-2024-10696"/>
    <d v="2024-07-01T00:00:00"/>
    <d v="2024-07-01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1"/>
    <s v="Unique"/>
    <n v="0"/>
    <n v="1029.56"/>
    <n v="403.2299999999999"/>
    <n v="0.39165274486188267"/>
    <x v="0"/>
    <x v="0"/>
    <s v="Clean"/>
    <s v="Match"/>
    <s v="Match"/>
  </r>
  <r>
    <s v="ORD-2025-10697"/>
    <d v="2025-09-22T00:00:00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1"/>
    <s v="Unique"/>
    <n v="0.25"/>
    <n v="3536.5199999999995"/>
    <n v="1434.1099999999997"/>
    <n v="0.40551446054313278"/>
    <x v="7"/>
    <x v="1"/>
    <s v="Clean"/>
    <s v="Match"/>
    <s v="Mismatch"/>
  </r>
  <r>
    <s v="ORD-2025-10698"/>
    <d v="2025-03-01T00:00:00"/>
    <d v="2025-03-07T00:00:00"/>
    <n v="6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n v="1"/>
    <s v="Unique"/>
    <n v="0"/>
    <n v="3970.0499999999997"/>
    <n v="2120.75"/>
    <n v="0.53418722686112274"/>
    <x v="11"/>
    <x v="1"/>
    <s v="Clean"/>
    <s v="Mismatch"/>
    <s v="Mismatch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n v="1"/>
    <s v="Unique"/>
    <n v="0.15"/>
    <n v="27755.287999999997"/>
    <n v="4003.377999999997"/>
    <n v="0.14423838801456493"/>
    <x v="7"/>
    <x v="0"/>
    <s v="Clean"/>
    <s v="Mismatch"/>
    <s v="Match"/>
  </r>
  <r>
    <s v="ORD-2024-10700"/>
    <d v="2024-06-11T00:00:00"/>
    <d v="2024-06-11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1"/>
    <s v="Unique"/>
    <n v="0.25"/>
    <n v="9450.7425000000003"/>
    <n v="1652.1824999999999"/>
    <n v="0.17482039109625511"/>
    <x v="2"/>
    <x v="0"/>
    <s v="Clean"/>
    <s v="Match"/>
    <s v="Match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1"/>
    <s v="Unique"/>
    <n v="0.15"/>
    <n v="7792.5450000000001"/>
    <n v="3100.8150000000005"/>
    <n v="0.39792070498149201"/>
    <x v="7"/>
    <x v="0"/>
    <s v="Clean"/>
    <s v="Match"/>
    <s v="Match"/>
  </r>
  <r>
    <s v="ORD-2024-10702"/>
    <d v="2024-04-30T00:00:00"/>
    <d v="2024-05-04T00:00:00"/>
    <n v="4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n v="1"/>
    <s v="Unique"/>
    <n v="0"/>
    <n v="8574.58"/>
    <n v="1888.7699999999995"/>
    <n v="0.22027551203674112"/>
    <x v="5"/>
    <x v="0"/>
    <s v="Clean"/>
    <s v="Match"/>
    <s v="Match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1"/>
    <s v="Unique"/>
    <n v="0.1"/>
    <n v="2692.8180000000002"/>
    <n v="872.73800000000028"/>
    <n v="0.32409839803506968"/>
    <x v="6"/>
    <x v="1"/>
    <s v="Clean"/>
    <s v="Match"/>
    <s v="Match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1"/>
    <s v="Unique"/>
    <n v="0.1"/>
    <n v="1035.027"/>
    <n v="180.67700000000002"/>
    <n v="0.1745625959516032"/>
    <x v="9"/>
    <x v="0"/>
    <s v="Clean"/>
    <s v="Match"/>
    <s v="Match"/>
  </r>
  <r>
    <s v="ORD-2024-10705"/>
    <d v="2024-03-13T00:00:0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1"/>
    <s v="Unique"/>
    <n v="0.15"/>
    <n v="2401.7855"/>
    <n v="581.44550000000004"/>
    <n v="0.24208885431276025"/>
    <x v="11"/>
    <x v="0"/>
    <s v="Clean"/>
    <s v="Match"/>
    <s v="Match"/>
  </r>
  <r>
    <s v="ORD-2024-10706"/>
    <d v="2024-09-08T00:00:00"/>
    <d v="2024-09-14T00:00:00"/>
    <n v="6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1"/>
    <s v="Unique"/>
    <n v="0.05"/>
    <n v="16015.8125"/>
    <n v="4663.4325000000008"/>
    <n v="0.29117676671102394"/>
    <x v="7"/>
    <x v="0"/>
    <s v="Clean"/>
    <s v="Match"/>
    <s v="Match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1"/>
    <s v="Unique"/>
    <n v="0.1"/>
    <n v="1901.4750000000001"/>
    <n v="547.19500000000016"/>
    <n v="0.28777396494826391"/>
    <x v="2"/>
    <x v="0"/>
    <s v="Clean"/>
    <s v="Match"/>
    <s v="Match"/>
  </r>
  <r>
    <s v="ORD-2025-10708"/>
    <d v="2025-06-24T00:00:00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n v="1"/>
    <s v="Unique"/>
    <n v="0.55000000000000004"/>
    <n v="8375.9849999999988"/>
    <n v="-3302.3350000000009"/>
    <n v="-0.39426228676388525"/>
    <x v="2"/>
    <x v="1"/>
    <s v="Clean"/>
    <s v="Mismatch"/>
    <s v="Mismatch"/>
  </r>
  <r>
    <s v="ORD-2025-10709"/>
    <d v="2025-03-20T00:00:00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1"/>
    <s v="Unique"/>
    <n v="0.05"/>
    <n v="16559.108"/>
    <n v="3325.3179999999993"/>
    <n v="0.20081504390212318"/>
    <x v="11"/>
    <x v="1"/>
    <s v="Clean"/>
    <s v="Match"/>
    <s v="Match"/>
  </r>
  <r>
    <s v="ORD-2025-10710"/>
    <d v="2025-01-19T00:00:00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1"/>
    <s v="Unique"/>
    <n v="0.15"/>
    <n v="8110.0879999999988"/>
    <n v="1692.7679999999991"/>
    <n v="0.2087237524426368"/>
    <x v="10"/>
    <x v="1"/>
    <s v="Clean"/>
    <s v="Match"/>
    <s v="Match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1"/>
    <s v="Unique"/>
    <n v="0.05"/>
    <n v="7406.01"/>
    <n v="1464.2700000000004"/>
    <n v="0.19771374869869207"/>
    <x v="0"/>
    <x v="0"/>
    <s v="Clean"/>
    <s v="Match"/>
    <s v="Match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1"/>
    <s v="Unique"/>
    <n v="0.05"/>
    <n v="4110.4124999999995"/>
    <n v="1716.2724999999996"/>
    <n v="0.41754264322619683"/>
    <x v="6"/>
    <x v="1"/>
    <s v="Clean"/>
    <s v="Match"/>
    <s v="Match"/>
  </r>
  <r>
    <s v="ORD-2024-10713"/>
    <d v="2024-02-10T00:00:0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1"/>
    <s v="Unique"/>
    <n v="0"/>
    <n v="9680.0199999999986"/>
    <n v="2803.3599999999988"/>
    <n v="0.28960270743242256"/>
    <x v="6"/>
    <x v="0"/>
    <s v="Clean"/>
    <s v="Match"/>
    <s v="Match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1"/>
    <s v="Unique"/>
    <n v="0.25"/>
    <n v="217.47750000000002"/>
    <n v="85.347500000000025"/>
    <n v="0.39244289639158081"/>
    <x v="2"/>
    <x v="1"/>
    <s v="Clean"/>
    <s v="Match"/>
    <s v="Match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1"/>
    <s v="Unique"/>
    <n v="0"/>
    <n v="18675.18"/>
    <n v="4700.4799999999996"/>
    <n v="0.25169663692665878"/>
    <x v="11"/>
    <x v="1"/>
    <s v="Clean"/>
    <s v="Match"/>
    <s v="Match"/>
  </r>
  <r>
    <s v="ORD-2025-10716"/>
    <d v="2025-08-22T00:00:00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1"/>
    <s v="Unique"/>
    <n v="0"/>
    <n v="19901.63"/>
    <n v="4409.6000000000004"/>
    <n v="0.22156979101711771"/>
    <x v="1"/>
    <x v="1"/>
    <s v="Clean"/>
    <s v="Match"/>
    <s v="Match"/>
  </r>
  <r>
    <s v="ORD-2025-10717"/>
    <d v="2025-08-26T00:00:00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n v="1"/>
    <s v="Unique"/>
    <n v="0.15"/>
    <n v="2879.817"/>
    <n v="1054.9369999999999"/>
    <n v="0.3663208460815392"/>
    <x v="1"/>
    <x v="1"/>
    <s v="Clean"/>
    <s v="Match"/>
    <s v="Match"/>
  </r>
  <r>
    <s v="ORD-2025-10718"/>
    <d v="2025-10-12T00:00:00"/>
    <d v="2025-10-15T00:00:00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1"/>
    <s v="Unique"/>
    <n v="0.2"/>
    <n v="18712.223999999998"/>
    <n v="6860.003999999999"/>
    <n v="0.3666054874075898"/>
    <x v="9"/>
    <x v="1"/>
    <s v="Clean"/>
    <s v="Match"/>
    <s v="Match"/>
  </r>
  <r>
    <s v="ORD-2024-10719"/>
    <d v="2024-09-06T00:00:0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1"/>
    <s v="Unique"/>
    <n v="0.2"/>
    <n v="4733.4479999999994"/>
    <n v="1061.1279999999992"/>
    <n v="0.22417654107534282"/>
    <x v="7"/>
    <x v="0"/>
    <s v="Clean"/>
    <s v="Match"/>
    <s v="Match"/>
  </r>
  <r>
    <s v="ORD-2025-10720"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1"/>
    <s v="Unique"/>
    <n v="0.2"/>
    <n v="3795.8559999999998"/>
    <n v="1530.9359999999997"/>
    <n v="0.40331772332775528"/>
    <x v="7"/>
    <x v="1"/>
    <s v="Clean"/>
    <s v="Match"/>
    <s v="Match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1"/>
    <s v="Unique"/>
    <n v="0.15"/>
    <n v="15231.727999999999"/>
    <n v="2780.268"/>
    <n v="0.1825313582280356"/>
    <x v="0"/>
    <x v="0"/>
    <s v="Clean"/>
    <s v="Match"/>
    <s v="Match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1"/>
    <s v="Unique"/>
    <n v="0"/>
    <n v="13649.75"/>
    <n v="3361.7199999999993"/>
    <n v="0.24628436418249414"/>
    <x v="2"/>
    <x v="1"/>
    <s v="Clean"/>
    <s v="Match"/>
    <s v="Match"/>
  </r>
  <r>
    <s v="ORD-2024-10723"/>
    <d v="2024-10-07T00:00:00"/>
    <d v="2024-10-10T00:00:00"/>
    <n v="3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n v="1"/>
    <s v="Unique"/>
    <n v="0"/>
    <n v="4333.59"/>
    <n v="1800"/>
    <n v="0.41536001329152039"/>
    <x v="9"/>
    <x v="0"/>
    <s v="Clean"/>
    <s v="Match"/>
    <s v="Match"/>
  </r>
  <r>
    <s v="ORD-2025-10724"/>
    <d v="2025-10-06T00:00:00"/>
    <d v="2025-10-13T00:00:00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1"/>
    <s v="Unique"/>
    <n v="0.05"/>
    <n v="13634.000999999998"/>
    <n v="4044.1909999999989"/>
    <n v="0.29662539998346776"/>
    <x v="9"/>
    <x v="1"/>
    <s v="Clean"/>
    <s v="Match"/>
    <s v="Match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1"/>
    <s v="Unique"/>
    <n v="0"/>
    <n v="760.29"/>
    <n v="262.52"/>
    <n v="0.34528929750489945"/>
    <x v="6"/>
    <x v="0"/>
    <s v="Clean"/>
    <s v="Match"/>
    <s v="Match"/>
  </r>
  <r>
    <s v="ORD-2025-10726"/>
    <d v="2025-10-05T00:00:00"/>
    <d v="2025-10-12T00:00:00"/>
    <n v="7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1"/>
    <s v="Unique"/>
    <n v="0"/>
    <n v="14943.11"/>
    <n v="6421.6100000000006"/>
    <n v="0.42973718322357263"/>
    <x v="9"/>
    <x v="1"/>
    <s v="Clean"/>
    <s v="Match"/>
    <s v="Match"/>
  </r>
  <r>
    <s v="ORD-2024-10727"/>
    <d v="2024-01-17T00:00:00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1"/>
    <s v="Unique"/>
    <n v="0.2"/>
    <n v="8072"/>
    <n v="2692.7799999999997"/>
    <n v="0.33359514370664023"/>
    <x v="10"/>
    <x v="0"/>
    <s v="Clean"/>
    <s v="Match"/>
    <s v="Match"/>
  </r>
  <r>
    <s v="ORD-2024-10728"/>
    <d v="2024-10-13T00:00:00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1"/>
    <s v="Unique"/>
    <n v="0.05"/>
    <n v="28353.015999999996"/>
    <n v="9095.1659999999974"/>
    <n v="0.3207830165228277"/>
    <x v="9"/>
    <x v="0"/>
    <s v="Clean"/>
    <s v="Match"/>
    <s v="Match"/>
  </r>
  <r>
    <s v="ORD-2024-10729"/>
    <d v="2024-01-04T00:00:00"/>
    <d v="2024-01-07T00:00:00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1"/>
    <s v="Unique"/>
    <n v="0.15"/>
    <n v="2008.567"/>
    <n v="813.73700000000008"/>
    <n v="0.40513311231340554"/>
    <x v="10"/>
    <x v="0"/>
    <s v="Clean"/>
    <s v="Match"/>
    <s v="Match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1"/>
    <s v="Unique"/>
    <n v="0.15"/>
    <n v="9234.2129999999997"/>
    <n v="3717.6929999999993"/>
    <n v="0.40259987505161504"/>
    <x v="4"/>
    <x v="1"/>
    <s v="Clean"/>
    <s v="Match"/>
    <s v="Match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n v="1"/>
    <s v="Unique"/>
    <n v="0.15"/>
    <n v="2658.8339999999998"/>
    <n v="431.86400000000003"/>
    <n v="0.16242608602116568"/>
    <x v="2"/>
    <x v="1"/>
    <s v="Clean"/>
    <s v="Match"/>
    <s v="Match"/>
  </r>
  <r>
    <s v="ORD-2024-10732"/>
    <d v="2024-03-17T00:00:00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1"/>
    <s v="Unique"/>
    <n v="0.1"/>
    <n v="15756.048000000001"/>
    <n v="5510.6080000000002"/>
    <n v="0.3497455707167178"/>
    <x v="11"/>
    <x v="0"/>
    <s v="Clean"/>
    <s v="Match"/>
    <s v="Match"/>
  </r>
  <r>
    <s v="ORD-2024-10733"/>
    <d v="2024-11-28T00:00:00"/>
    <d v="2024-12-06T00:00:00"/>
    <n v="8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1"/>
    <s v="Unique"/>
    <n v="0"/>
    <n v="14787.78"/>
    <n v="6191.130000000001"/>
    <n v="0.41866527632950995"/>
    <x v="3"/>
    <x v="0"/>
    <s v="Clean"/>
    <s v="Match"/>
    <s v="Match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1"/>
    <s v="Unique"/>
    <n v="0"/>
    <n v="25181.64"/>
    <n v="9843.74"/>
    <n v="0.39090940860086953"/>
    <x v="2"/>
    <x v="0"/>
    <s v="Clean"/>
    <s v="Match"/>
    <s v="Match"/>
  </r>
  <r>
    <s v="ORD-2024-10735"/>
    <d v="2024-08-24T00:00:00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n v="1"/>
    <s v="Unique"/>
    <n v="0.2"/>
    <n v="8837.9520000000011"/>
    <n v="2680.6820000000007"/>
    <n v="0.30331484036120587"/>
    <x v="1"/>
    <x v="0"/>
    <s v="Clean"/>
    <s v="Match"/>
    <s v="Match"/>
  </r>
  <r>
    <s v="ORD-2024-10736"/>
    <d v="2024-08-11T00:00:0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1"/>
    <s v="Unique"/>
    <n v="0.2"/>
    <n v="7275.7920000000004"/>
    <n v="1122.9220000000005"/>
    <n v="0.15433673749881804"/>
    <x v="1"/>
    <x v="0"/>
    <s v="Clean"/>
    <s v="Match"/>
    <s v="Match"/>
  </r>
  <r>
    <s v="ORD-2024-10737"/>
    <d v="2024-12-06T00:00:00"/>
    <d v="2024-12-09T00:00:00"/>
    <n v="3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1"/>
    <s v="Unique"/>
    <n v="0.1"/>
    <n v="2355.0750000000003"/>
    <n v="1005.0450000000003"/>
    <n v="0.42675710964618968"/>
    <x v="8"/>
    <x v="0"/>
    <s v="Clean"/>
    <s v="Match"/>
    <s v="Match"/>
  </r>
  <r>
    <s v="ORD-2024-10738"/>
    <d v="2024-02-10T00:00:00"/>
    <d v="2024-02-10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1"/>
    <s v="Unique"/>
    <n v="0"/>
    <n v="3609.12"/>
    <n v="963.61999999999989"/>
    <n v="0.2669958327791816"/>
    <x v="6"/>
    <x v="0"/>
    <s v="Clean"/>
    <s v="Match"/>
    <s v="Match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1"/>
    <s v="Unique"/>
    <n v="0"/>
    <n v="2188.19"/>
    <n v="889.35000000000014"/>
    <n v="0.40643179979800664"/>
    <x v="6"/>
    <x v="1"/>
    <s v="Clean"/>
    <s v="Match"/>
    <s v="Match"/>
  </r>
  <r>
    <s v="ORD-2024-10740"/>
    <d v="2024-12-03T00:00:00"/>
    <d v="2024-12-10T00:00:0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1"/>
    <s v="Unique"/>
    <n v="0.05"/>
    <n v="11370.835000000001"/>
    <n v="3901.255000000001"/>
    <n v="0.34309309738466881"/>
    <x v="8"/>
    <x v="0"/>
    <s v="Clean"/>
    <s v="Match"/>
    <s v="Match"/>
  </r>
  <r>
    <s v="ORD-2024-10741"/>
    <d v="2024-04-02T00:00:00"/>
    <d v="2024-04-02T00:00:00"/>
    <n v="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1"/>
    <s v="Unique"/>
    <n v="0.1"/>
    <n v="9298.8000000000011"/>
    <n v="2750.3000000000011"/>
    <n v="0.29576934658235482"/>
    <x v="5"/>
    <x v="0"/>
    <s v="Clean"/>
    <s v="Match"/>
    <s v="Match"/>
  </r>
  <r>
    <s v="ORD-2025-10742"/>
    <d v="2025-04-23T00:00:00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n v="1"/>
    <s v="Unique"/>
    <n v="0"/>
    <n v="8853.36"/>
    <n v="3257.0200000000004"/>
    <n v="0.36788518709280998"/>
    <x v="5"/>
    <x v="1"/>
    <s v="Clean"/>
    <s v="Mismatch"/>
    <s v="Mismatch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1"/>
    <s v="Unique"/>
    <n v="0"/>
    <n v="9043.7999999999993"/>
    <n v="3130.4199999999992"/>
    <n v="0.34613989694597397"/>
    <x v="9"/>
    <x v="0"/>
    <s v="Clean"/>
    <s v="Match"/>
    <s v="Match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1"/>
    <s v="Unique"/>
    <n v="0.25"/>
    <n v="2211.2999999999997"/>
    <n v="475.65999999999963"/>
    <n v="0.21510423732645942"/>
    <x v="6"/>
    <x v="1"/>
    <s v="Clean"/>
    <s v="Match"/>
    <s v="Match"/>
  </r>
  <r>
    <s v="ORD-2025-10745"/>
    <d v="2025-08-17T00:00:00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1"/>
    <s v="Unique"/>
    <n v="0.1"/>
    <n v="12158.504999999999"/>
    <n v="1898.4349999999995"/>
    <n v="0.15614049589155901"/>
    <x v="1"/>
    <x v="1"/>
    <s v="Clean"/>
    <s v="Match"/>
    <s v="Match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1"/>
    <s v="Unique"/>
    <n v="0.2"/>
    <n v="1736.616"/>
    <n v="677.096"/>
    <n v="0.38989390861307277"/>
    <x v="9"/>
    <x v="0"/>
    <s v="Clean"/>
    <s v="Match"/>
    <s v="Match"/>
  </r>
  <r>
    <s v="ORD-2025-10747"/>
    <d v="2025-01-04T00:00:00"/>
    <d v="2025-01-10T00:00:0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1"/>
    <s v="Unique"/>
    <n v="0.2"/>
    <n v="8266.2080000000005"/>
    <n v="2029.8880000000008"/>
    <n v="0.24556459261610653"/>
    <x v="10"/>
    <x v="1"/>
    <s v="Clean"/>
    <s v="Match"/>
    <s v="Match"/>
  </r>
  <r>
    <s v="ORD-2024-10748"/>
    <d v="2024-05-01T00:00:00"/>
    <d v="2024-05-07T00:00:00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1"/>
    <s v="Unique"/>
    <n v="0.15"/>
    <n v="10022.044"/>
    <n v="4445.0640000000003"/>
    <n v="0.44352868536597928"/>
    <x v="4"/>
    <x v="0"/>
    <s v="Clean"/>
    <s v="Match"/>
    <s v="Match"/>
  </r>
  <r>
    <s v="ORD-2024-10749"/>
    <d v="2024-05-30T00:00:00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n v="1"/>
    <s v="Unique"/>
    <n v="0.25"/>
    <n v="2886.0299999999997"/>
    <n v="821.19999999999982"/>
    <n v="0.28454312671732446"/>
    <x v="4"/>
    <x v="0"/>
    <s v="Clean"/>
    <s v="Match"/>
    <s v="Match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1"/>
    <s v="Unique"/>
    <n v="0.15"/>
    <n v="1459.1949999999999"/>
    <n v="403.40499999999997"/>
    <n v="0.27645722470266137"/>
    <x v="11"/>
    <x v="0"/>
    <s v="Clean"/>
    <s v="Match"/>
    <s v="Match"/>
  </r>
  <r>
    <s v="ORD-2025-10751"/>
    <d v="2025-06-02T00:00:00"/>
    <d v="2025-06-02T00:00:00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1"/>
    <s v="Unique"/>
    <n v="0.15"/>
    <n v="26696.323999999997"/>
    <n v="3971.8039999999964"/>
    <n v="0.14877718745097629"/>
    <x v="2"/>
    <x v="1"/>
    <s v="Clean"/>
    <s v="Match"/>
    <s v="Match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1"/>
    <s v="Unique"/>
    <n v="0.05"/>
    <n v="8445.2624999999989"/>
    <n v="1507.6624999999985"/>
    <n v="0.17852168597482893"/>
    <x v="0"/>
    <x v="1"/>
    <s v="Clean"/>
    <s v="Match"/>
    <s v="Match"/>
  </r>
  <r>
    <s v="ORD-2024-10753"/>
    <d v="2024-03-24T00:00:00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n v="1"/>
    <s v="Unique"/>
    <n v="0.05"/>
    <n v="11709.794999999998"/>
    <n v="3337.5049999999974"/>
    <n v="0.28501822619439521"/>
    <x v="11"/>
    <x v="0"/>
    <s v="Clean"/>
    <s v="Match"/>
    <s v="Match"/>
  </r>
  <r>
    <s v="ORD-2024-10754"/>
    <d v="2024-08-11T00:00:00"/>
    <d v="2024-08-10T00:00:00"/>
    <n v="-1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1"/>
    <s v="Unique"/>
    <n v="0.15"/>
    <n v="2593.9109999999996"/>
    <n v="745.43099999999959"/>
    <n v="0.28737724617382776"/>
    <x v="1"/>
    <x v="0"/>
    <s v="Invalid"/>
    <s v="Match"/>
    <s v="Match"/>
  </r>
  <r>
    <s v="ORD-2025-10755"/>
    <d v="2025-06-04T00:00:00"/>
    <d v="2025-06-04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1"/>
    <s v="Unique"/>
    <n v="0.25"/>
    <n v="2674.02"/>
    <n v="466.44999999999982"/>
    <n v="0.17443773793763689"/>
    <x v="2"/>
    <x v="1"/>
    <s v="Clean"/>
    <s v="Match"/>
    <s v="Match"/>
  </r>
  <r>
    <s v="ORD-2025-10756"/>
    <d v="2025-07-20T00:00:00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n v="1"/>
    <s v="Unique"/>
    <n v="0.2"/>
    <n v="9926.9599999999991"/>
    <n v="1931.9799999999996"/>
    <n v="0.19461950083409219"/>
    <x v="0"/>
    <x v="1"/>
    <s v="Clean"/>
    <s v="Match"/>
    <s v="Match"/>
  </r>
  <r>
    <s v="ORD-2024-10757"/>
    <d v="2024-10-27T00:00:00"/>
    <d v="2024-11-01T00:00:00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1"/>
    <s v="Unique"/>
    <n v="0.2"/>
    <n v="12191.76"/>
    <n v="1734.2700000000004"/>
    <n v="0.14224935530226976"/>
    <x v="9"/>
    <x v="0"/>
    <s v="Clean"/>
    <s v="Match"/>
    <s v="Match"/>
  </r>
  <r>
    <s v="ORD-2025-10758"/>
    <d v="2025-08-01T00:00:00"/>
    <d v="2025-08-03T00:00:00"/>
    <n v="2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1"/>
    <s v="Unique"/>
    <n v="0.25"/>
    <n v="4285.7550000000001"/>
    <n v="1899.4250000000002"/>
    <n v="0.44319495631458172"/>
    <x v="1"/>
    <x v="1"/>
    <s v="Clean"/>
    <s v="Match"/>
    <s v="Match"/>
  </r>
  <r>
    <s v="ORD-2024-10759"/>
    <d v="2024-05-02T00:00:00"/>
    <d v="2024-05-10T00:00:0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1"/>
    <s v="Unique"/>
    <n v="0"/>
    <n v="4166.91"/>
    <n v="754.27999999999975"/>
    <n v="0.18101662862888801"/>
    <x v="4"/>
    <x v="0"/>
    <s v="Clean"/>
    <s v="Match"/>
    <s v="Match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1"/>
    <s v="Unique"/>
    <n v="0.25"/>
    <n v="14947.537500000002"/>
    <n v="5509.0775000000031"/>
    <n v="0.36856087499362367"/>
    <x v="0"/>
    <x v="0"/>
    <s v="Clean"/>
    <s v="Match"/>
    <s v="Match"/>
  </r>
  <r>
    <s v="ORD-2024-10761"/>
    <d v="2024-08-28T00:00:00"/>
    <d v="2024-09-02T00:00:00"/>
    <n v="5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n v="1"/>
    <s v="Unique"/>
    <n v="0"/>
    <n v="13462.12"/>
    <n v="5861.4900000000007"/>
    <n v="0.43540616188237813"/>
    <x v="1"/>
    <x v="0"/>
    <s v="Clean"/>
    <s v="Match"/>
    <s v="Match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1"/>
    <s v="Unique"/>
    <n v="0"/>
    <n v="7467.36"/>
    <n v="2456.75"/>
    <n v="0.32899846799940008"/>
    <x v="1"/>
    <x v="1"/>
    <s v="Clean"/>
    <s v="Match"/>
    <s v="Match"/>
  </r>
  <r>
    <s v="ORD-2024-10763"/>
    <d v="2024-01-01T00:00:00"/>
    <d v="2024-01-05T00:00:00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1"/>
    <s v="Unique"/>
    <n v="0.2"/>
    <n v="5910.5920000000006"/>
    <n v="1135.152000000001"/>
    <n v="0.19205385856442145"/>
    <x v="10"/>
    <x v="0"/>
    <s v="Clean"/>
    <s v="Match"/>
    <s v="Match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1"/>
    <s v="Unique"/>
    <n v="0"/>
    <n v="16454.88"/>
    <n v="4373.34"/>
    <n v="0.26577769026574488"/>
    <x v="1"/>
    <x v="1"/>
    <s v="Clean"/>
    <s v="Match"/>
    <s v="Match"/>
  </r>
  <r>
    <s v="ORD-2025-10765"/>
    <d v="2025-04-13T00:00:00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n v="1"/>
    <s v="Unique"/>
    <n v="0.05"/>
    <n v="25159.8"/>
    <n v="3552.9699999999975"/>
    <n v="0.14121614639226057"/>
    <x v="5"/>
    <x v="1"/>
    <s v="Clean"/>
    <s v="Match"/>
    <s v="Match"/>
  </r>
  <r>
    <s v="ORD-2025-10766"/>
    <d v="2025-06-29T00:00:00"/>
    <d v="2025-07-03T00:00:00"/>
    <n v="4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n v="1"/>
    <s v="Unique"/>
    <n v="0"/>
    <n v="1824.42"/>
    <n v="609.55000000000018"/>
    <n v="0.33410618169061956"/>
    <x v="2"/>
    <x v="1"/>
    <s v="Clean"/>
    <s v="Match"/>
    <s v="Match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1"/>
    <s v="Unique"/>
    <n v="0.2"/>
    <n v="16617.312000000002"/>
    <n v="7421.5820000000022"/>
    <n v="0.44661747940942564"/>
    <x v="7"/>
    <x v="0"/>
    <s v="Clean"/>
    <s v="Match"/>
    <s v="Match"/>
  </r>
  <r>
    <s v="ORD-2024-10768"/>
    <d v="2024-05-03T00:00:00"/>
    <d v="2024-05-06T00:00:00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1"/>
    <s v="Unique"/>
    <n v="0.25"/>
    <n v="933.43499999999995"/>
    <n v="350.34499999999991"/>
    <n v="0.3753287588316272"/>
    <x v="4"/>
    <x v="0"/>
    <s v="Clean"/>
    <s v="Match"/>
    <s v="Match"/>
  </r>
  <r>
    <s v="ORD-2025-10769"/>
    <d v="2025-04-02T00:00:00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1"/>
    <s v="Unique"/>
    <n v="0.1"/>
    <n v="14554.08"/>
    <n v="3387.24"/>
    <n v="0.23273473830018798"/>
    <x v="5"/>
    <x v="1"/>
    <s v="Clean"/>
    <s v="Match"/>
    <s v="Match"/>
  </r>
  <r>
    <s v="ORD-2024-10770"/>
    <d v="2024-05-11T00:00:00"/>
    <d v="2024-05-13T00:00:00"/>
    <n v="2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1"/>
    <s v="Unique"/>
    <n v="0.25"/>
    <n v="8128.6875"/>
    <n v="3057.0275000000001"/>
    <n v="0.3760788565189645"/>
    <x v="4"/>
    <x v="0"/>
    <s v="Clean"/>
    <s v="Match"/>
    <s v="Match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n v="1"/>
    <s v="Unique"/>
    <n v="0"/>
    <n v="3452"/>
    <n v="1075.3800000000001"/>
    <n v="0.3115237543453071"/>
    <x v="6"/>
    <x v="0"/>
    <s v="Clean"/>
    <s v="Mismatch"/>
    <s v="Mismatch"/>
  </r>
  <r>
    <s v="ORD-2024-10772"/>
    <d v="2024-07-12T00:00:0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1"/>
    <s v="Unique"/>
    <n v="0"/>
    <n v="8525.64"/>
    <n v="5004.9499999999989"/>
    <n v="0.58704683753946907"/>
    <x v="0"/>
    <x v="0"/>
    <s v="Clean"/>
    <s v="Mismatch"/>
    <s v="Mismatch"/>
  </r>
  <r>
    <s v="ORD-2025-10773"/>
    <d v="2025-07-15T00:00:00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1"/>
    <s v="Unique"/>
    <n v="0.05"/>
    <n v="3708.0589999999997"/>
    <n v="947.76899999999978"/>
    <n v="0.25559706574248142"/>
    <x v="0"/>
    <x v="1"/>
    <s v="Clean"/>
    <s v="Match"/>
    <s v="Match"/>
  </r>
  <r>
    <s v="ORD-2025-10774"/>
    <d v="2025-02-21T00:00:00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1"/>
    <s v="Unique"/>
    <n v="0.2"/>
    <n v="9424.2240000000002"/>
    <n v="3245.3040000000001"/>
    <n v="0.3443576892909167"/>
    <x v="6"/>
    <x v="1"/>
    <s v="Clean"/>
    <s v="Match"/>
    <s v="Match"/>
  </r>
  <r>
    <s v="ORD-2025-10775"/>
    <d v="2025-08-07T00:00:00"/>
    <d v="2025-08-07T00:00:00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1"/>
    <s v="Unique"/>
    <n v="0.2"/>
    <n v="7752.6"/>
    <n v="3063.3"/>
    <n v="0.39513195573098059"/>
    <x v="1"/>
    <x v="1"/>
    <s v="Clean"/>
    <s v="Match"/>
    <s v="Match"/>
  </r>
  <r>
    <s v="ORD-2024-10776"/>
    <d v="2024-04-14T00:00:00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n v="1"/>
    <s v="Unique"/>
    <n v="0.25"/>
    <n v="23736.720000000001"/>
    <n v="9845.8200000000015"/>
    <n v="0.41479277676106896"/>
    <x v="5"/>
    <x v="0"/>
    <s v="Clean"/>
    <s v="Match"/>
    <s v="Match"/>
  </r>
  <r>
    <s v="ORD-2025-10777"/>
    <d v="2025-06-08T00:00:00"/>
    <d v="2025-06-13T00:00:00"/>
    <n v="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1"/>
    <s v="Unique"/>
    <n v="0"/>
    <n v="26999.91"/>
    <n v="9183.93"/>
    <n v="0.34014668937785347"/>
    <x v="2"/>
    <x v="1"/>
    <s v="Clean"/>
    <s v="Match"/>
    <s v="Match"/>
  </r>
  <r>
    <s v="ORD-2024-10778"/>
    <d v="2024-02-04T00:00:00"/>
    <d v="2024-02-06T00:00:00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1"/>
    <s v="Unique"/>
    <n v="0.15"/>
    <n v="5065.116"/>
    <n v="1534.9960000000001"/>
    <n v="0.30305248685321323"/>
    <x v="6"/>
    <x v="0"/>
    <s v="Clean"/>
    <s v="Match"/>
    <s v="Match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1"/>
    <s v="Unique"/>
    <n v="0"/>
    <n v="6707.52"/>
    <n v="1034.9500000000007"/>
    <n v="0.15429696817899918"/>
    <x v="0"/>
    <x v="0"/>
    <s v="Clean"/>
    <s v="Match"/>
    <s v="Match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n v="1"/>
    <s v="Unique"/>
    <n v="0.05"/>
    <n v="11983.451999999999"/>
    <n v="3410.5519999999997"/>
    <n v="0.2846051371507976"/>
    <x v="10"/>
    <x v="0"/>
    <s v="Clean"/>
    <s v="Match"/>
    <s v="Match"/>
  </r>
  <r>
    <s v="ORD-2024-10781"/>
    <d v="2024-08-04T00:00:00"/>
    <d v="2024-08-10T00:00:0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1"/>
    <s v="Unique"/>
    <n v="0.2"/>
    <n v="1364.576"/>
    <n v="386.41600000000005"/>
    <n v="0.28317660577351506"/>
    <x v="1"/>
    <x v="0"/>
    <s v="Clean"/>
    <s v="Match"/>
    <s v="Match"/>
  </r>
  <r>
    <s v="ORD-2024-10782"/>
    <d v="2024-02-02T00:00:00"/>
    <d v="2024-02-10T00:00:00"/>
    <n v="8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1"/>
    <s v="Unique"/>
    <n v="0.25"/>
    <n v="862.64999999999986"/>
    <n v="258.91999999999985"/>
    <n v="0.30014490233582553"/>
    <x v="6"/>
    <x v="0"/>
    <s v="Clean"/>
    <s v="Match"/>
    <s v="Match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1"/>
    <s v="Unique"/>
    <n v="0.15"/>
    <n v="1138.3709999999999"/>
    <n v="341.03099999999984"/>
    <n v="0.29957808131092578"/>
    <x v="11"/>
    <x v="1"/>
    <s v="Clean"/>
    <s v="Match"/>
    <s v="Match"/>
  </r>
  <r>
    <s v="ORD-2024-10784"/>
    <d v="2024-06-07T00:00:00"/>
    <d v="2024-06-07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1"/>
    <s v="Unique"/>
    <n v="0.05"/>
    <n v="2452.8334999999997"/>
    <n v="546.13349999999969"/>
    <n v="0.22265412634000625"/>
    <x v="2"/>
    <x v="0"/>
    <s v="Clean"/>
    <s v="Match"/>
    <s v="Match"/>
  </r>
  <r>
    <s v="ORD-2025-10785"/>
    <d v="2025-10-04T00:00:00"/>
    <d v="2025-10-05T00:00:00"/>
    <n v="1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1"/>
    <s v="Unique"/>
    <n v="0.05"/>
    <n v="1589.0840000000001"/>
    <n v="504.42399999999998"/>
    <n v="0.31743067075120002"/>
    <x v="9"/>
    <x v="1"/>
    <s v="Clean"/>
    <s v="Match"/>
    <s v="Match"/>
  </r>
  <r>
    <s v="ORD-2024-10786"/>
    <d v="2024-05-23T00:00:00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n v="1"/>
    <s v="Unique"/>
    <n v="0.25"/>
    <n v="4519.41"/>
    <n v="1015.25"/>
    <n v="0.22464215461752751"/>
    <x v="4"/>
    <x v="0"/>
    <s v="Clean"/>
    <s v="Match"/>
    <s v="Mismatch"/>
  </r>
  <r>
    <s v="ORD-2025-10787"/>
    <d v="2025-07-06T00:00:00"/>
    <d v="2025-07-08T00:00:00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1"/>
    <s v="Unique"/>
    <n v="0.05"/>
    <n v="2718.71"/>
    <n v="653.65999999999985"/>
    <n v="0.24043020403058799"/>
    <x v="0"/>
    <x v="1"/>
    <s v="Clean"/>
    <s v="Match"/>
    <s v="Match"/>
  </r>
  <r>
    <s v="ORD-2024-10788"/>
    <d v="2024-09-12T00:00:0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1"/>
    <s v="Unique"/>
    <n v="0.05"/>
    <n v="7065.6629999999996"/>
    <n v="2150.3929999999991"/>
    <n v="0.30434412170521002"/>
    <x v="7"/>
    <x v="0"/>
    <s v="Clean"/>
    <s v="Match"/>
    <s v="Match"/>
  </r>
  <r>
    <s v="ORD-2024-10789"/>
    <d v="2024-08-01T00:00:00"/>
    <d v="2024-08-02T00:00:00"/>
    <n v="1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1"/>
    <s v="Unique"/>
    <n v="0.1"/>
    <n v="17911.007999999998"/>
    <n v="6364.9579999999987"/>
    <n v="0.35536570582738836"/>
    <x v="1"/>
    <x v="0"/>
    <s v="Clean"/>
    <s v="Match"/>
    <s v="Match"/>
  </r>
  <r>
    <s v="ORD-2025-10790"/>
    <d v="2025-03-07T00:00:00"/>
    <d v="2025-03-08T00:00:00"/>
    <n v="1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1"/>
    <s v="Unique"/>
    <n v="0"/>
    <n v="14149.92"/>
    <n v="4683.41"/>
    <n v="0.33098491016203624"/>
    <x v="11"/>
    <x v="1"/>
    <s v="Clean"/>
    <s v="Match"/>
    <s v="Match"/>
  </r>
  <r>
    <s v="ORD-2024-10791"/>
    <d v="2024-05-31T00:00:00"/>
    <d v="2024-06-02T00:00:00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1"/>
    <s v="Unique"/>
    <n v="0.2"/>
    <n v="4272.576"/>
    <n v="943.65599999999995"/>
    <n v="0.22086347908147214"/>
    <x v="4"/>
    <x v="0"/>
    <s v="Clean"/>
    <s v="Match"/>
    <s v="Match"/>
  </r>
  <r>
    <s v="ORD-2024-10792"/>
    <d v="2024-10-02T00:00:00"/>
    <d v="2024-10-06T00:00:00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1"/>
    <s v="Unique"/>
    <n v="0.25"/>
    <n v="9352.619999999999"/>
    <n v="4083.2099999999991"/>
    <n v="0.43658461479243243"/>
    <x v="9"/>
    <x v="0"/>
    <s v="Clean"/>
    <s v="Match"/>
    <s v="Match"/>
  </r>
  <r>
    <s v="ORD-2025-10793"/>
    <d v="2025-06-04T00:00:00"/>
    <d v="2025-06-08T00:00:00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1"/>
    <s v="Unique"/>
    <n v="0.2"/>
    <n v="2800.8960000000002"/>
    <n v="1064.9160000000002"/>
    <n v="0.38020547710446945"/>
    <x v="2"/>
    <x v="1"/>
    <s v="Clean"/>
    <s v="Match"/>
    <s v="Match"/>
  </r>
  <r>
    <s v="ORD-2024-10794"/>
    <d v="2024-05-28T00:00:00"/>
    <d v="2024-06-03T00:00:00"/>
    <n v="6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1"/>
    <s v="Unique"/>
    <n v="0"/>
    <n v="21511.599999999999"/>
    <n v="6103.1299999999992"/>
    <n v="0.28371343833094703"/>
    <x v="4"/>
    <x v="0"/>
    <s v="Clean"/>
    <s v="Match"/>
    <s v="Match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1"/>
    <s v="Unique"/>
    <n v="0.15"/>
    <n v="7279.3574999999992"/>
    <n v="2408.9674999999988"/>
    <n v="0.33093133562955235"/>
    <x v="2"/>
    <x v="1"/>
    <s v="Clean"/>
    <s v="Match"/>
    <s v="Match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n v="1"/>
    <s v="Unique"/>
    <n v="0"/>
    <n v="26051.94"/>
    <n v="9168.3499999999985"/>
    <n v="0.3519258066769691"/>
    <x v="0"/>
    <x v="0"/>
    <s v="Clean"/>
    <s v="Match"/>
    <s v="Match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1"/>
    <s v="Unique"/>
    <n v="0.15"/>
    <n v="9661.6439999999984"/>
    <n v="3357.873999999998"/>
    <n v="0.34754685641491223"/>
    <x v="11"/>
    <x v="0"/>
    <s v="Clean"/>
    <s v="Match"/>
    <s v="Match"/>
  </r>
  <r>
    <s v="ORD-2024-10798"/>
    <d v="2024-04-18T00:00:00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n v="1"/>
    <s v="Unique"/>
    <n v="0"/>
    <n v="13714.96"/>
    <n v="3164.49"/>
    <n v="0.23073271814135804"/>
    <x v="5"/>
    <x v="0"/>
    <s v="Clean"/>
    <s v="Match"/>
    <s v="Match"/>
  </r>
  <r>
    <s v="ORD-2025-10799"/>
    <d v="2025-07-11T00:00:00"/>
    <d v="2025-07-09T00:00:00"/>
    <n v="-2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1"/>
    <s v="Unique"/>
    <n v="0"/>
    <n v="15354.449999999999"/>
    <n v="5697.9499999999989"/>
    <n v="0.37109437329243311"/>
    <x v="0"/>
    <x v="1"/>
    <s v="Invalid"/>
    <s v="Match"/>
    <s v="Match"/>
  </r>
  <r>
    <s v="ORD-2024-10800"/>
    <d v="2024-10-10T00:00:00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1"/>
    <s v="Unique"/>
    <n v="0.05"/>
    <n v="4595.1975000000002"/>
    <n v="707.78750000000036"/>
    <n v="0.15402765604742785"/>
    <x v="9"/>
    <x v="0"/>
    <s v="Clean"/>
    <s v="Match"/>
    <s v="Match"/>
  </r>
  <r>
    <s v="ORD-2024-10801"/>
    <d v="2024-03-01T00:00:00"/>
    <d v="2024-03-07T00:00:00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1"/>
    <s v="Unique"/>
    <n v="0.15"/>
    <n v="21234.971999999998"/>
    <n v="4498.8819999999978"/>
    <n v="0.21186192286950029"/>
    <x v="11"/>
    <x v="0"/>
    <s v="Clean"/>
    <s v="Match"/>
    <s v="Match"/>
  </r>
  <r>
    <s v="ORD-2025-10802"/>
    <d v="2025-10-08T00:00:00"/>
    <d v="2025-10-15T00:00:00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1"/>
    <s v="Unique"/>
    <n v="0.2"/>
    <n v="8093.304000000001"/>
    <n v="2040.8740000000007"/>
    <n v="0.25216821214179036"/>
    <x v="9"/>
    <x v="1"/>
    <s v="Clean"/>
    <s v="Match"/>
    <s v="Match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1"/>
    <s v="Unique"/>
    <n v="0"/>
    <n v="8651.4600000000009"/>
    <n v="3396.8400000000011"/>
    <n v="0.39263199506210522"/>
    <x v="6"/>
    <x v="1"/>
    <s v="Clean"/>
    <s v="Match"/>
    <s v="Match"/>
  </r>
  <r>
    <s v="ORD-2024-10804"/>
    <d v="2024-12-09T00:00:00"/>
    <d v="2024-12-13T00:00:00"/>
    <n v="4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1"/>
    <s v="Unique"/>
    <n v="0"/>
    <n v="4306.6499999999996"/>
    <n v="1737.8299999999995"/>
    <n v="0.40352245945224235"/>
    <x v="8"/>
    <x v="0"/>
    <s v="Clean"/>
    <s v="Match"/>
    <s v="Match"/>
  </r>
  <r>
    <s v="ORD-2025-10805"/>
    <d v="2025-09-10T00:00:00"/>
    <d v="2025-09-18T00:00:00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1"/>
    <s v="Unique"/>
    <n v="0.05"/>
    <n v="1948.0889999999997"/>
    <n v="441.00899999999979"/>
    <n v="0.22638031424642296"/>
    <x v="7"/>
    <x v="1"/>
    <s v="Clean"/>
    <s v="Match"/>
    <s v="Match"/>
  </r>
  <r>
    <s v="ORD-2025-10806"/>
    <d v="2025-04-06T00:00:00"/>
    <d v="2025-04-07T00:00:00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1"/>
    <s v="Unique"/>
    <n v="0.25"/>
    <n v="3045.09"/>
    <n v="444"/>
    <n v="0.14580849827098705"/>
    <x v="5"/>
    <x v="1"/>
    <s v="Clean"/>
    <s v="Match"/>
    <s v="Match"/>
  </r>
  <r>
    <s v="ORD-2024-10807"/>
    <d v="2024-11-09T00:00:00"/>
    <d v="2024-11-15T00:00:00"/>
    <n v="6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1"/>
    <s v="Unique"/>
    <n v="0.2"/>
    <n v="2932.7759999999998"/>
    <n v="1032.4259999999999"/>
    <n v="0.35203029484692999"/>
    <x v="3"/>
    <x v="0"/>
    <s v="Clean"/>
    <s v="Match"/>
    <s v="Match"/>
  </r>
  <r>
    <s v="ORD-2025-10808"/>
    <d v="2025-02-07T00:00:00"/>
    <d v="2025-02-08T00:00:00"/>
    <n v="1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1"/>
    <s v="Unique"/>
    <n v="0.1"/>
    <n v="4379.3640000000005"/>
    <n v="655.43400000000065"/>
    <n v="0.14966419781502532"/>
    <x v="6"/>
    <x v="1"/>
    <s v="Clean"/>
    <s v="Match"/>
    <s v="Match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1"/>
    <s v="Unique"/>
    <n v="0.2"/>
    <n v="5472.768"/>
    <n v="995.4380000000001"/>
    <n v="0.18188931085695575"/>
    <x v="1"/>
    <x v="1"/>
    <s v="Invalid"/>
    <s v="Match"/>
    <s v="Match"/>
  </r>
  <r>
    <s v="ORD-2025-10810"/>
    <d v="2025-06-25T00:00:00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1"/>
    <s v="Unique"/>
    <n v="0.1"/>
    <n v="7377.1020000000008"/>
    <n v="2291.8920000000007"/>
    <n v="0.31067646888981615"/>
    <x v="2"/>
    <x v="1"/>
    <s v="Clean"/>
    <s v="Match"/>
    <s v="Match"/>
  </r>
  <r>
    <s v="ORD-2024-10811"/>
    <d v="2024-04-03T00:00:00"/>
    <d v="2024-04-08T00:00:00"/>
    <n v="5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1"/>
    <s v="Unique"/>
    <n v="0.25"/>
    <n v="2363.8874999999998"/>
    <n v="892.37749999999983"/>
    <n v="0.37750421710000998"/>
    <x v="5"/>
    <x v="0"/>
    <s v="Clean"/>
    <s v="Match"/>
    <s v="Match"/>
  </r>
  <r>
    <s v="ORD-2024-10812"/>
    <d v="2024-12-12T00:00:00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1"/>
    <s v="Unique"/>
    <n v="0.2"/>
    <n v="2577.2000000000003"/>
    <n v="1101.3300000000004"/>
    <n v="0.42733586838429316"/>
    <x v="8"/>
    <x v="0"/>
    <s v="Clean"/>
    <s v="Match"/>
    <s v="Match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1"/>
    <s v="Unique"/>
    <n v="0"/>
    <n v="17827.759999999998"/>
    <n v="3705.6299999999992"/>
    <n v="0.20785729671029896"/>
    <x v="2"/>
    <x v="0"/>
    <s v="Clean"/>
    <s v="Match"/>
    <s v="Match"/>
  </r>
  <r>
    <s v="ORD-2025-10814"/>
    <d v="2025-04-06T00:00:00"/>
    <d v="2025-04-10T00:00:0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1"/>
    <s v="Unique"/>
    <n v="0"/>
    <n v="2675.34"/>
    <n v="1079.4700000000003"/>
    <n v="0.40348890234512258"/>
    <x v="5"/>
    <x v="1"/>
    <s v="Clean"/>
    <s v="Match"/>
    <s v="Match"/>
  </r>
  <r>
    <s v="ORD-2025-10815"/>
    <d v="2025-08-06T00:00:00"/>
    <d v="2025-08-11T00:00:00"/>
    <n v="5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1"/>
    <s v="Unique"/>
    <n v="0.25"/>
    <n v="3563.91"/>
    <n v="924.21"/>
    <n v="0.25932473042248544"/>
    <x v="1"/>
    <x v="1"/>
    <s v="Clean"/>
    <s v="Match"/>
    <s v="Match"/>
  </r>
  <r>
    <s v="ORD-2024-10816"/>
    <d v="2024-04-01T00:00:00"/>
    <d v="2024-04-08T00:00:00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1"/>
    <s v="Unique"/>
    <n v="0.15"/>
    <n v="4259.0694999999996"/>
    <n v="1128.7494999999994"/>
    <n v="0.26502255950507486"/>
    <x v="5"/>
    <x v="0"/>
    <s v="Clean"/>
    <s v="Match"/>
    <s v="Match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1"/>
    <s v="Unique"/>
    <n v="0.1"/>
    <n v="786.87"/>
    <n v="288.37"/>
    <n v="0.36647730883119195"/>
    <x v="3"/>
    <x v="0"/>
    <s v="Clean"/>
    <s v="Match"/>
    <s v="Match"/>
  </r>
  <r>
    <s v="ORD-2025-10818"/>
    <d v="2025-04-05T00:00:00"/>
    <d v="2025-04-05T00:00:00"/>
    <n v="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1"/>
    <s v="Unique"/>
    <n v="0.25"/>
    <n v="8233.6049999999996"/>
    <n v="3519.8149999999996"/>
    <n v="0.42749378917254349"/>
    <x v="5"/>
    <x v="1"/>
    <s v="Clean"/>
    <s v="Match"/>
    <s v="Match"/>
  </r>
  <r>
    <s v="ORD-2024-10819"/>
    <d v="2024-09-29T00:00:00"/>
    <d v="2024-10-05T00:00:00"/>
    <n v="6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1"/>
    <s v="Unique"/>
    <n v="-0.14000000000000001"/>
    <n v="18067.084800000001"/>
    <n v="7978.4348000000009"/>
    <n v="0.44160056192352631"/>
    <x v="7"/>
    <x v="0"/>
    <s v="Invalid"/>
    <s v="Mismatch"/>
    <s v="Mismatch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n v="1"/>
    <s v="Unique"/>
    <n v="0"/>
    <n v="33968.080000000002"/>
    <n v="7065.6400000000031"/>
    <n v="0.20800822419165294"/>
    <x v="0"/>
    <x v="0"/>
    <s v="Clean"/>
    <s v="Match"/>
    <s v="Match"/>
  </r>
  <r>
    <s v="ORD-2025-10821"/>
    <d v="2025-02-06T00:00:00"/>
    <d v="2025-02-10T00:00:0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1"/>
    <s v="Unique"/>
    <n v="0.2"/>
    <n v="511.31200000000001"/>
    <n v="74.882000000000005"/>
    <n v="0.14645069937728825"/>
    <x v="6"/>
    <x v="1"/>
    <s v="Clean"/>
    <s v="Match"/>
    <s v="Match"/>
  </r>
  <r>
    <s v="ORD-2024-10822"/>
    <d v="2024-07-03T00:00:00"/>
    <d v="2024-07-06T00:00:00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1"/>
    <s v="Unique"/>
    <n v="0.2"/>
    <n v="10877.944000000001"/>
    <n v="1767.8040000000019"/>
    <n v="0.16251269541376584"/>
    <x v="0"/>
    <x v="0"/>
    <s v="Clean"/>
    <s v="Match"/>
    <s v="Match"/>
  </r>
  <r>
    <s v="ORD-2024-10823"/>
    <d v="2024-10-12T00:00:00"/>
    <d v="2024-10-08T00:00:00"/>
    <n v="-4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1"/>
    <s v="Unique"/>
    <n v="0.2"/>
    <n v="10246.528"/>
    <n v="1612.1080000000002"/>
    <n v="0.15733212264681268"/>
    <x v="9"/>
    <x v="0"/>
    <s v="Invalid"/>
    <s v="Match"/>
    <s v="Match"/>
  </r>
  <r>
    <s v="ORD-2025-10824"/>
    <d v="2025-01-06T00:00:00"/>
    <d v="2025-01-12T00:00:00"/>
    <n v="6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1"/>
    <s v="Unique"/>
    <n v="0.15"/>
    <n v="1704.2415000000001"/>
    <n v="746.69150000000013"/>
    <n v="0.43813714194848563"/>
    <x v="10"/>
    <x v="1"/>
    <s v="Clean"/>
    <s v="Match"/>
    <s v="Match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1"/>
    <s v="Unique"/>
    <n v="0.05"/>
    <n v="33719.223999999995"/>
    <n v="4794.7939999999944"/>
    <n v="0.14219763776295669"/>
    <x v="11"/>
    <x v="1"/>
    <s v="Clean"/>
    <s v="Match"/>
    <s v="Match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1"/>
    <s v="Unique"/>
    <n v="0"/>
    <n v="2720.17"/>
    <n v="885.94"/>
    <n v="0.3256928794891496"/>
    <x v="5"/>
    <x v="1"/>
    <s v="Clean"/>
    <s v="Match"/>
    <s v="Match"/>
  </r>
  <r>
    <s v="ORD-2025-10827"/>
    <d v="2025-08-10T00:00:00"/>
    <d v="2025-08-14T00:00:00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1"/>
    <s v="Unique"/>
    <n v="0.25"/>
    <n v="8213.0249999999996"/>
    <n v="2643.7249999999995"/>
    <n v="0.32189418636860345"/>
    <x v="1"/>
    <x v="1"/>
    <s v="Clean"/>
    <s v="Match"/>
    <s v="Match"/>
  </r>
  <r>
    <s v="ORD-2024-10828"/>
    <d v="2024-11-24T00:00:00"/>
    <d v="2024-12-01T00:00:00"/>
    <n v="7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1"/>
    <s v="Unique"/>
    <n v="0.25"/>
    <n v="633.66750000000002"/>
    <n v="113.19749999999999"/>
    <n v="0.17863863934950111"/>
    <x v="3"/>
    <x v="0"/>
    <s v="Clean"/>
    <s v="Match"/>
    <s v="Match"/>
  </r>
  <r>
    <s v="ORD-2025-10829"/>
    <d v="2025-10-10T00:00:00"/>
    <d v="2025-10-11T00:00:00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1"/>
    <s v="Unique"/>
    <n v="0.05"/>
    <n v="25216.534"/>
    <n v="10999.593999999999"/>
    <n v="0.4362056260388521"/>
    <x v="9"/>
    <x v="1"/>
    <s v="Clean"/>
    <s v="Match"/>
    <s v="Match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1"/>
    <s v="Unique"/>
    <n v="0.1"/>
    <n v="6521.3820000000005"/>
    <n v="2010.2820000000002"/>
    <n v="0.30826012032418892"/>
    <x v="6"/>
    <x v="0"/>
    <s v="Clean"/>
    <s v="Match"/>
    <s v="Match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1"/>
    <s v="Unique"/>
    <n v="0.1"/>
    <n v="12867.552000000001"/>
    <n v="2798.612000000001"/>
    <n v="0.21749373929089236"/>
    <x v="0"/>
    <x v="1"/>
    <s v="Clean"/>
    <s v="Match"/>
    <s v="Match"/>
  </r>
  <r>
    <s v="ORD-2025-10832"/>
    <d v="2025-04-03T00:00:00"/>
    <d v="2025-04-03T00:00:00"/>
    <n v="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1"/>
    <s v="Unique"/>
    <n v="0.15"/>
    <n v="26489.654999999999"/>
    <n v="10671.195"/>
    <n v="0.40284386489744772"/>
    <x v="5"/>
    <x v="1"/>
    <s v="Clean"/>
    <s v="Match"/>
    <s v="Match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n v="1"/>
    <s v="Unique"/>
    <n v="0.05"/>
    <n v="36782.271000000008"/>
    <n v="10879.461000000007"/>
    <n v="0.29578002402298664"/>
    <x v="4"/>
    <x v="1"/>
    <s v="Clean"/>
    <s v="Match"/>
    <s v="Match"/>
  </r>
  <r>
    <s v="ORD-2024-10834"/>
    <d v="2024-06-04T00:00:00"/>
    <d v="2024-06-04T00:00:00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1"/>
    <s v="Unique"/>
    <n v="0"/>
    <n v="23696.400000000001"/>
    <n v="5586.630000000001"/>
    <n v="0.23575859624246723"/>
    <x v="2"/>
    <x v="0"/>
    <s v="Clean"/>
    <s v="Match"/>
    <s v="Match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1"/>
    <s v="Unique"/>
    <n v="0"/>
    <n v="4047.66"/>
    <n v="968.73"/>
    <n v="0.23933087265234729"/>
    <x v="9"/>
    <x v="0"/>
    <s v="Clean"/>
    <s v="Match"/>
    <s v="Mismatch"/>
  </r>
  <r>
    <s v="ORD-2025-10836"/>
    <d v="2025-09-26T00:00:00"/>
    <d v="2025-10-04T00:00:00"/>
    <n v="8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1"/>
    <s v="Unique"/>
    <n v="0.05"/>
    <n v="10038.773499999999"/>
    <n v="4365.673499999999"/>
    <n v="0.43488116352062323"/>
    <x v="7"/>
    <x v="1"/>
    <s v="Clean"/>
    <s v="Match"/>
    <s v="Match"/>
  </r>
  <r>
    <s v="ORD-2024-10837"/>
    <d v="2024-12-15T00:00:00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1"/>
    <s v="Unique"/>
    <n v="0"/>
    <n v="1074.22"/>
    <n v="223.36"/>
    <n v="0.20792761259332354"/>
    <x v="8"/>
    <x v="0"/>
    <s v="Clean"/>
    <s v="Match"/>
    <s v="Match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1"/>
    <s v="Unique"/>
    <n v="0.25"/>
    <n v="9399.6674999999996"/>
    <n v="2859.2974999999997"/>
    <n v="0.30419134506619516"/>
    <x v="7"/>
    <x v="1"/>
    <s v="Clean"/>
    <s v="Match"/>
    <s v="Match"/>
  </r>
  <r>
    <s v="ORD-2025-10839"/>
    <d v="2025-04-03T00:00:00"/>
    <d v="2025-04-07T00:00:00"/>
    <n v="4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1"/>
    <s v="Unique"/>
    <n v="0"/>
    <n v="1470.57"/>
    <n v="636.54999999999995"/>
    <n v="0.43285936745615644"/>
    <x v="5"/>
    <x v="1"/>
    <s v="Clean"/>
    <s v="Match"/>
    <s v="Match"/>
  </r>
  <r>
    <s v="ORD-2024-10840"/>
    <d v="2024-09-20T00:00:00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n v="1"/>
    <s v="Unique"/>
    <n v="0.1"/>
    <n v="3826.2959999999998"/>
    <n v="1632.1759999999999"/>
    <n v="0.42656814841298218"/>
    <x v="7"/>
    <x v="0"/>
    <s v="Clean"/>
    <s v="Match"/>
    <s v="Match"/>
  </r>
  <r>
    <s v="ORD-2025-10841"/>
    <d v="2025-09-19T00:00:00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n v="1"/>
    <s v="Unique"/>
    <n v="0"/>
    <n v="6336.44"/>
    <n v="1655.7599999999993"/>
    <n v="0.26130761121386764"/>
    <x v="7"/>
    <x v="1"/>
    <s v="Clean"/>
    <s v="Match"/>
    <s v="Match"/>
  </r>
  <r>
    <s v="ORD-2025-10842"/>
    <d v="2025-02-06T00:00:00"/>
    <d v="2025-02-12T00:00:00"/>
    <n v="6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1"/>
    <s v="Unique"/>
    <n v="0.25"/>
    <n v="21850.829999999998"/>
    <n v="5250.6999999999971"/>
    <n v="0.2402975081495759"/>
    <x v="6"/>
    <x v="1"/>
    <s v="Clean"/>
    <s v="Match"/>
    <s v="Match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n v="1"/>
    <s v="Unique"/>
    <n v="0.15"/>
    <n v="7453.0719999999992"/>
    <n v="2319.2919999999995"/>
    <n v="0.31118604516365866"/>
    <x v="11"/>
    <x v="0"/>
    <s v="Invalid"/>
    <s v="Match"/>
    <s v="Match"/>
  </r>
  <r>
    <s v="ORD-2025-10844"/>
    <d v="2025-07-18T00:00:00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1"/>
    <s v="Unique"/>
    <n v="-0.02"/>
    <n v="36623.793600000005"/>
    <n v="12707.693600000006"/>
    <n v="0.34697917257812433"/>
    <x v="0"/>
    <x v="1"/>
    <s v="Invalid"/>
    <s v="Mismatch"/>
    <s v="Mismatch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1"/>
    <s v="Unique"/>
    <n v="0"/>
    <n v="3515.15"/>
    <n v="1298.81"/>
    <n v="0.36948921098672882"/>
    <x v="10"/>
    <x v="1"/>
    <s v="Clean"/>
    <s v="Match"/>
    <s v="Match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n v="1"/>
    <s v="Unique"/>
    <n v="0.25"/>
    <n v="24409.552499999998"/>
    <n v="7251.9724999999962"/>
    <n v="0.29709567596538267"/>
    <x v="6"/>
    <x v="0"/>
    <s v="Clean"/>
    <s v="Match"/>
    <s v="Match"/>
  </r>
  <r>
    <s v="ORD-2024-10847"/>
    <d v="2024-04-14T00:00:00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1"/>
    <s v="Unique"/>
    <n v="0"/>
    <n v="7955.04"/>
    <n v="2374.3599999999997"/>
    <n v="0.29847241497214339"/>
    <x v="5"/>
    <x v="0"/>
    <s v="Clean"/>
    <s v="Match"/>
    <s v="Match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1"/>
    <s v="Unique"/>
    <n v="0.2"/>
    <n v="336.12800000000004"/>
    <n v="93.938000000000045"/>
    <n v="0.27947091584158423"/>
    <x v="4"/>
    <x v="1"/>
    <s v="Clean"/>
    <s v="Match"/>
    <s v="Match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1"/>
    <s v="Unique"/>
    <n v="0.25"/>
    <n v="1308.2624999999998"/>
    <n v="224.70249999999987"/>
    <n v="0.17175643267310645"/>
    <x v="4"/>
    <x v="1"/>
    <s v="Clean"/>
    <s v="Match"/>
    <s v="Match"/>
  </r>
  <r>
    <s v="ORD-2024-10850"/>
    <d v="2024-03-06T00:00:00"/>
    <d v="2024-03-12T00:00:00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1"/>
    <s v="Unique"/>
    <n v="0.2"/>
    <n v="1631.1120000000001"/>
    <n v="732.38200000000006"/>
    <n v="0.44900779345624336"/>
    <x v="11"/>
    <x v="0"/>
    <s v="Clean"/>
    <s v="Match"/>
    <s v="Mismatch"/>
  </r>
  <r>
    <s v="ORD-2024-10851"/>
    <d v="2024-06-30T00:00:00"/>
    <d v="2024-07-03T00:00:00"/>
    <n v="3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1"/>
    <s v="Unique"/>
    <n v="0"/>
    <n v="7266.0599999999995"/>
    <n v="1049.1699999999992"/>
    <n v="0.14439324750965438"/>
    <x v="2"/>
    <x v="0"/>
    <s v="Clean"/>
    <s v="Match"/>
    <s v="Match"/>
  </r>
  <r>
    <s v="ORD-2024-10852"/>
    <d v="2024-03-26T00:00:00"/>
    <d v="2024-04-01T00:00:00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1"/>
    <s v="Unique"/>
    <n v="0.2"/>
    <n v="1858.08"/>
    <n v="267.32999999999993"/>
    <n v="0.14387432188065097"/>
    <x v="11"/>
    <x v="0"/>
    <s v="Clean"/>
    <s v="Match"/>
    <s v="Match"/>
  </r>
  <r>
    <s v="ORD-2024-10853"/>
    <d v="2024-04-01T00:00:00"/>
    <d v="2024-04-08T00:00:00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1"/>
    <s v="Unique"/>
    <n v="0.15"/>
    <n v="25021.832500000004"/>
    <n v="9477.3925000000036"/>
    <n v="0.37876492459135447"/>
    <x v="5"/>
    <x v="0"/>
    <s v="Clean"/>
    <s v="Match"/>
    <s v="Match"/>
  </r>
  <r>
    <s v="ORD-2025-10854"/>
    <d v="2025-05-16T00:00:00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1"/>
    <s v="Unique"/>
    <n v="0.2"/>
    <n v="3710.72"/>
    <n v="595.42999999999984"/>
    <n v="0.16046212055881334"/>
    <x v="4"/>
    <x v="1"/>
    <s v="Clean"/>
    <s v="Match"/>
    <s v="Match"/>
  </r>
  <r>
    <s v="ORD-2025-10855"/>
    <d v="2025-03-25T00:00:00"/>
    <d v="2025-04-02T00:00:00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1"/>
    <s v="Unique"/>
    <n v="0.05"/>
    <n v="8487.8319999999985"/>
    <n v="3242.1119999999983"/>
    <n v="0.38197174496384928"/>
    <x v="11"/>
    <x v="1"/>
    <s v="Clean"/>
    <s v="Match"/>
    <s v="Match"/>
  </r>
  <r>
    <s v="ORD-2024-10856"/>
    <d v="2024-07-25T00:00:00"/>
    <d v="2024-08-02T00:00:00"/>
    <n v="8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n v="1"/>
    <s v="Unique"/>
    <n v="0.25"/>
    <n v="3110.2950000000001"/>
    <n v="1009.2649999999999"/>
    <n v="0.32449172827657824"/>
    <x v="0"/>
    <x v="0"/>
    <s v="Clean"/>
    <s v="Match"/>
    <s v="Match"/>
  </r>
  <r>
    <s v="ORD-2024-10857"/>
    <d v="2024-06-12T00:00:00"/>
    <d v="2024-06-19T00:00:00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1"/>
    <s v="Unique"/>
    <n v="-0.16"/>
    <n v="1833.2639999999999"/>
    <n v="866.71399999999994"/>
    <n v="0.47277097024760206"/>
    <x v="2"/>
    <x v="0"/>
    <s v="Invalid"/>
    <s v="Mismatch"/>
    <s v="Mismatch"/>
  </r>
  <r>
    <s v="ORD-2024-10858"/>
    <d v="2024-06-04T00:00:00"/>
    <d v="2024-06-04T00:00:00"/>
    <n v="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1"/>
    <s v="Unique"/>
    <n v="0.25"/>
    <n v="12190.365"/>
    <n v="2013.375"/>
    <n v="0.16516117441930575"/>
    <x v="2"/>
    <x v="0"/>
    <s v="Clean"/>
    <s v="Match"/>
    <s v="Match"/>
  </r>
  <r>
    <s v="ORD-2024-10859"/>
    <d v="2024-05-02T00:00:00"/>
    <d v="2024-05-09T00:00:00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1"/>
    <s v="Unique"/>
    <n v="0"/>
    <n v="11619.44"/>
    <n v="4435.1200000000008"/>
    <n v="0.3816982574031107"/>
    <x v="4"/>
    <x v="0"/>
    <s v="Clean"/>
    <s v="Match"/>
    <s v="Mismatch"/>
  </r>
  <r>
    <s v="ORD-2024-10860"/>
    <d v="2024-10-27T00:00:00"/>
    <d v="2024-11-01T00:00:00"/>
    <n v="5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1"/>
    <s v="Unique"/>
    <n v="0.05"/>
    <n v="25075.439999999995"/>
    <n v="8792.6999999999953"/>
    <n v="0.35064987892535471"/>
    <x v="9"/>
    <x v="0"/>
    <s v="Clean"/>
    <s v="Match"/>
    <s v="Match"/>
  </r>
  <r>
    <s v="ORD-2024-10861"/>
    <d v="2024-02-02T00:00:00"/>
    <d v="2024-02-04T00:00:00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1"/>
    <s v="Unique"/>
    <n v="0.05"/>
    <n v="4177.4539999999997"/>
    <n v="1877.9539999999997"/>
    <n v="0.44954510570313877"/>
    <x v="6"/>
    <x v="0"/>
    <s v="Clean"/>
    <s v="Match"/>
    <s v="Match"/>
  </r>
  <r>
    <s v="ORD-2025-10862"/>
    <d v="2025-03-08T00:00:00"/>
    <d v="2025-03-09T00:00:00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1"/>
    <s v="Unique"/>
    <n v="0.2"/>
    <n v="10898.175999999999"/>
    <n v="4666.7659999999996"/>
    <n v="0.42821532704188298"/>
    <x v="11"/>
    <x v="1"/>
    <s v="Clean"/>
    <s v="Match"/>
    <s v="Match"/>
  </r>
  <r>
    <s v="ORD-2025-10863"/>
    <d v="2025-03-26T00:00:00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n v="1"/>
    <s v="Unique"/>
    <n v="0"/>
    <n v="6975.7000000000007"/>
    <n v="2177.8200000000006"/>
    <n v="0.3122009260719355"/>
    <x v="11"/>
    <x v="1"/>
    <s v="Clean"/>
    <s v="Match"/>
    <s v="Match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1"/>
    <s v="Unique"/>
    <n v="0"/>
    <n v="8811.69"/>
    <n v="2045.7800000000007"/>
    <n v="0.23216658779416893"/>
    <x v="7"/>
    <x v="1"/>
    <s v="Clean"/>
    <s v="Match"/>
    <s v="Match"/>
  </r>
  <r>
    <s v="ORD-2025-10865"/>
    <d v="2025-09-02T00:00:00"/>
    <d v="2025-09-05T00:00:00"/>
    <n v="3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1"/>
    <s v="Unique"/>
    <n v="0"/>
    <n v="17034.349999999999"/>
    <n v="2402.989999999998"/>
    <n v="0.14106731398615141"/>
    <x v="7"/>
    <x v="1"/>
    <s v="Clean"/>
    <s v="Match"/>
    <s v="Match"/>
  </r>
  <r>
    <s v="ORD-2025-10866"/>
    <d v="2025-02-06T00:00:00"/>
    <d v="2025-02-14T00:00:00"/>
    <n v="8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n v="1"/>
    <s v="Unique"/>
    <n v="0"/>
    <n v="7984.08"/>
    <n v="2326.0299999999997"/>
    <n v="0.29133350367230787"/>
    <x v="6"/>
    <x v="1"/>
    <s v="Clean"/>
    <s v="Match"/>
    <s v="Match"/>
  </r>
  <r>
    <s v="ORD-2025-10867"/>
    <d v="2025-02-26T00:00:00"/>
    <d v="2025-03-06T00:00:00"/>
    <n v="8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1"/>
    <s v="Unique"/>
    <n v="0.2"/>
    <n v="21912.263999999999"/>
    <n v="5544.4839999999986"/>
    <n v="0.25303108797885965"/>
    <x v="6"/>
    <x v="1"/>
    <s v="Clean"/>
    <s v="Match"/>
    <s v="Match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1"/>
    <s v="Unique"/>
    <n v="0.25"/>
    <n v="4695.7049999999999"/>
    <n v="824.01499999999987"/>
    <n v="0.17548270174553127"/>
    <x v="3"/>
    <x v="0"/>
    <s v="Clean"/>
    <s v="Match"/>
    <s v="Match"/>
  </r>
  <r>
    <s v="ORD-2025-10869"/>
    <d v="2025-04-11T00:00:00"/>
    <d v="2025-04-15T00:00:00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1"/>
    <s v="Unique"/>
    <n v="0.05"/>
    <n v="1923.2369999999999"/>
    <n v="829.57699999999977"/>
    <n v="0.43134413491420964"/>
    <x v="5"/>
    <x v="1"/>
    <s v="Clean"/>
    <s v="Match"/>
    <s v="Match"/>
  </r>
  <r>
    <s v="ORD-2025-10870"/>
    <d v="2025-03-06T00:00:00"/>
    <d v="2025-03-07T00:00:00"/>
    <n v="1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1"/>
    <s v="Unique"/>
    <n v="0.1"/>
    <n v="4301.91"/>
    <n v="1927.5099999999998"/>
    <n v="0.44805911792668834"/>
    <x v="11"/>
    <x v="1"/>
    <s v="Clean"/>
    <s v="Match"/>
    <s v="Match"/>
  </r>
  <r>
    <s v="ORD-2025-10871"/>
    <d v="2025-06-06T00:00:00"/>
    <d v="2025-06-07T00:00:00"/>
    <n v="1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1"/>
    <s v="Unique"/>
    <n v="0.15"/>
    <n v="22436.838"/>
    <n v="4982.1680000000015"/>
    <n v="0.22205303617203109"/>
    <x v="2"/>
    <x v="1"/>
    <s v="Clean"/>
    <s v="Match"/>
    <s v="Match"/>
  </r>
  <r>
    <s v="ORD-2024-10872"/>
    <d v="2024-02-20T00:00:00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1"/>
    <s v="Unique"/>
    <n v="0"/>
    <n v="19676.07"/>
    <n v="7217.4499999999989"/>
    <n v="0.36681359641432454"/>
    <x v="6"/>
    <x v="0"/>
    <s v="Clean"/>
    <s v="Match"/>
    <s v="Match"/>
  </r>
  <r>
    <s v="ORD-2024-10873"/>
    <d v="2024-11-01T00:00:00"/>
    <d v="2024-11-02T00:00:00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1"/>
    <s v="Unique"/>
    <n v="0.2"/>
    <n v="8848.08"/>
    <n v="3156.5199999999995"/>
    <n v="0.35674632236598219"/>
    <x v="3"/>
    <x v="0"/>
    <s v="Clean"/>
    <s v="Match"/>
    <s v="Match"/>
  </r>
  <r>
    <s v="ORD-2025-10874"/>
    <d v="2025-02-01T00:00:00"/>
    <d v="2025-02-08T00:00:00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1"/>
    <s v="Unique"/>
    <n v="0.1"/>
    <n v="4487.8319999999994"/>
    <n v="1854.0519999999992"/>
    <n v="0.41312865543986482"/>
    <x v="6"/>
    <x v="1"/>
    <s v="Clean"/>
    <s v="Match"/>
    <s v="Match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1"/>
    <s v="Unique"/>
    <n v="0.05"/>
    <n v="29829.088"/>
    <n v="9118.9079999999994"/>
    <n v="0.30570522303598419"/>
    <x v="0"/>
    <x v="1"/>
    <s v="Clean"/>
    <s v="Match"/>
    <s v="Match"/>
  </r>
  <r>
    <s v="ORD-2024-10876"/>
    <d v="2024-08-10T00:00:00"/>
    <d v="2024-08-11T00:00:00"/>
    <n v="1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1"/>
    <s v="Unique"/>
    <n v="0.2"/>
    <n v="21574.672000000002"/>
    <n v="6901.8420000000024"/>
    <n v="0.31990484026825539"/>
    <x v="1"/>
    <x v="0"/>
    <s v="Clean"/>
    <s v="Match"/>
    <s v="Match"/>
  </r>
  <r>
    <s v="ORD-2024-10877"/>
    <d v="2024-11-18T00:00:00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n v="1"/>
    <s v="Unique"/>
    <n v="0"/>
    <n v="22741.32"/>
    <n v="6352.75"/>
    <n v="0.27934834037777928"/>
    <x v="3"/>
    <x v="0"/>
    <s v="Clean"/>
    <s v="Match"/>
    <s v="Match"/>
  </r>
  <r>
    <s v="ORD-2025-10878"/>
    <d v="2025-08-26T00:00:00"/>
    <d v="2025-09-03T00:00:00"/>
    <n v="8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n v="1"/>
    <s v="Unique"/>
    <n v="0.1"/>
    <n v="3641.5439999999999"/>
    <n v="951.17399999999998"/>
    <n v="0.26120074342092253"/>
    <x v="1"/>
    <x v="1"/>
    <s v="Clean"/>
    <s v="Match"/>
    <s v="Match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1"/>
    <s v="Unique"/>
    <n v="0.05"/>
    <n v="11834.796"/>
    <n v="2512.4359999999997"/>
    <n v="0.21229229468763125"/>
    <x v="10"/>
    <x v="0"/>
    <s v="Clean"/>
    <s v="Match"/>
    <s v="Match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1"/>
    <s v="Unique"/>
    <n v="0.15"/>
    <n v="6028.3530000000001"/>
    <n v="1594.723"/>
    <n v="0.26453709661660491"/>
    <x v="1"/>
    <x v="1"/>
    <s v="Clean"/>
    <s v="Match"/>
    <s v="Match"/>
  </r>
  <r>
    <s v="ORD-2024-10881"/>
    <d v="2024-03-08T00:00:00"/>
    <d v="2024-03-15T00:00:00"/>
    <n v="7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1"/>
    <s v="Unique"/>
    <n v="0"/>
    <n v="16173.85"/>
    <n v="2537.5100000000002"/>
    <n v="0.15688967067210344"/>
    <x v="11"/>
    <x v="0"/>
    <s v="Clean"/>
    <s v="Match"/>
    <s v="Match"/>
  </r>
  <r>
    <s v="ORD-2024-10882"/>
    <d v="2024-12-01T00:00:00"/>
    <d v="2024-12-05T00:00:00"/>
    <n v="4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1"/>
    <s v="Unique"/>
    <n v="0.25"/>
    <n v="25155.5625"/>
    <n v="7562.8725000000013"/>
    <n v="0.30064414182747856"/>
    <x v="8"/>
    <x v="0"/>
    <s v="Clean"/>
    <s v="Match"/>
    <s v="Match"/>
  </r>
  <r>
    <s v="ORD-2025-10883"/>
    <d v="2025-02-02T00:00:00"/>
    <d v="2025-02-10T00:00:00"/>
    <n v="8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1"/>
    <s v="Unique"/>
    <n v="0"/>
    <n v="7649.8"/>
    <n v="2755.2700000000004"/>
    <n v="0.36017542942299152"/>
    <x v="6"/>
    <x v="1"/>
    <s v="Clean"/>
    <s v="Match"/>
    <s v="Match"/>
  </r>
  <r>
    <s v="ORD-2025-10884"/>
    <d v="2025-04-28T00:00:00"/>
    <d v="2025-05-01T00:00:00"/>
    <n v="3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1"/>
    <s v="Unique"/>
    <n v="0"/>
    <n v="1620.87"/>
    <n v="517.26"/>
    <n v="0.31912491439782342"/>
    <x v="5"/>
    <x v="1"/>
    <s v="Clean"/>
    <s v="Match"/>
    <s v="Match"/>
  </r>
  <r>
    <s v="ORD-2025-10885"/>
    <d v="2025-01-18T00:00:00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n v="1"/>
    <s v="Unique"/>
    <n v="0.15"/>
    <n v="3567.518"/>
    <n v="1155.7179999999998"/>
    <n v="0.32395575859743381"/>
    <x v="10"/>
    <x v="1"/>
    <s v="Clean"/>
    <s v="Match"/>
    <s v="Match"/>
  </r>
  <r>
    <s v="ORD-2024-10886"/>
    <d v="2024-01-05T00:00:00"/>
    <d v="2024-01-05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1"/>
    <s v="Unique"/>
    <n v="0.25"/>
    <n v="1625.31"/>
    <n v="467.41999999999985"/>
    <n v="0.28758821394072509"/>
    <x v="10"/>
    <x v="0"/>
    <s v="Clean"/>
    <s v="Match"/>
    <s v="Match"/>
  </r>
  <r>
    <s v="ORD-2025-10887"/>
    <d v="2025-04-26T00:00:00"/>
    <d v="2025-05-03T00:00:00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n v="1"/>
    <s v="Unique"/>
    <n v="0.15"/>
    <n v="23739.904999999999"/>
    <n v="6023.3849999999984"/>
    <n v="0.25372405660427028"/>
    <x v="5"/>
    <x v="1"/>
    <s v="Clean"/>
    <s v="Match"/>
    <s v="Match"/>
  </r>
  <r>
    <s v="ORD-2024-10888"/>
    <d v="2024-06-12T00:00:0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1"/>
    <s v="Unique"/>
    <n v="0"/>
    <n v="16704.52"/>
    <n v="6546.24"/>
    <n v="0.39188435225914897"/>
    <x v="2"/>
    <x v="0"/>
    <s v="Clean"/>
    <s v="Match"/>
    <s v="Match"/>
  </r>
  <r>
    <s v="ORD-2025-10889"/>
    <d v="2025-08-06T00:00:00"/>
    <d v="2025-08-07T00:00:00"/>
    <n v="1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1"/>
    <s v="Unique"/>
    <n v="0.1"/>
    <n v="12685.103999999999"/>
    <n v="1905.5439999999999"/>
    <n v="0.15021902855506741"/>
    <x v="1"/>
    <x v="1"/>
    <s v="Clean"/>
    <s v="Match"/>
    <s v="Match"/>
  </r>
  <r>
    <s v="ORD-2025-10890"/>
    <d v="2025-03-10T00:00:00"/>
    <d v="2025-03-11T00:00:00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1"/>
    <s v="Unique"/>
    <n v="0.25"/>
    <n v="5883.12"/>
    <n v="1235.21"/>
    <n v="0.20995832143488491"/>
    <x v="11"/>
    <x v="1"/>
    <s v="Clean"/>
    <s v="Match"/>
    <s v="Match"/>
  </r>
  <r>
    <s v="ORD-2024-10891"/>
    <d v="2024-05-15T00:00:00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n v="1"/>
    <s v="Unique"/>
    <n v="0.2"/>
    <n v="13965.888000000001"/>
    <n v="2319.768"/>
    <n v="0.16610243473239938"/>
    <x v="4"/>
    <x v="0"/>
    <s v="Clean"/>
    <s v="Match"/>
    <s v="Match"/>
  </r>
  <r>
    <s v="ORD-2024-10892"/>
    <d v="2024-10-08T00:00:00"/>
    <d v="2024-10-09T00:00:00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1"/>
    <s v="Unique"/>
    <n v="0.1"/>
    <n v="10835.865"/>
    <n v="4415.9449999999997"/>
    <n v="0.40753045557507406"/>
    <x v="9"/>
    <x v="0"/>
    <s v="Clean"/>
    <s v="Match"/>
    <s v="Match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1"/>
    <s v="Unique"/>
    <n v="0.2"/>
    <n v="581.51200000000006"/>
    <n v="157.65200000000004"/>
    <n v="0.27110704508247468"/>
    <x v="5"/>
    <x v="1"/>
    <s v="Clean"/>
    <s v="Match"/>
    <s v="Match"/>
  </r>
  <r>
    <s v="ORD-2024-10894"/>
    <d v="2024-06-06T00:00:00"/>
    <d v="2024-06-08T00:00:00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1"/>
    <s v="Unique"/>
    <n v="0.05"/>
    <n v="1127.1465000000001"/>
    <n v="281.52650000000006"/>
    <n v="0.24976921810962466"/>
    <x v="2"/>
    <x v="0"/>
    <s v="Clean"/>
    <s v="Match"/>
    <s v="Match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1"/>
    <s v="Unique"/>
    <n v="0"/>
    <n v="25524.300000000003"/>
    <n v="8812.3700000000026"/>
    <n v="0.34525413037771857"/>
    <x v="6"/>
    <x v="0"/>
    <s v="Clean"/>
    <s v="Match"/>
    <s v="Match"/>
  </r>
  <r>
    <s v="ORD-2024-10896"/>
    <d v="2024-11-05T00:00:00"/>
    <d v="2024-11-10T00:00:00"/>
    <n v="5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1"/>
    <s v="Unique"/>
    <n v="0.15"/>
    <n v="2418.0119999999997"/>
    <n v="976.12199999999962"/>
    <n v="0.40368782288921634"/>
    <x v="3"/>
    <x v="0"/>
    <s v="Clean"/>
    <s v="Match"/>
    <s v="Match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n v="1"/>
    <s v="Unique"/>
    <n v="0.05"/>
    <n v="3508.3784999999998"/>
    <n v="680.31849999999986"/>
    <n v="0.19391251542557336"/>
    <x v="8"/>
    <x v="0"/>
    <s v="Clean"/>
    <s v="Match"/>
    <s v="Match"/>
  </r>
  <r>
    <s v="ORD-2025-10898"/>
    <d v="2025-04-29T00:00:00"/>
    <d v="2025-05-03T00:00:00"/>
    <n v="4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1"/>
    <s v="Unique"/>
    <n v="0.05"/>
    <n v="6789.27"/>
    <n v="1162.8400000000001"/>
    <n v="0.17127614603631908"/>
    <x v="5"/>
    <x v="1"/>
    <s v="Clean"/>
    <s v="Match"/>
    <s v="Match"/>
  </r>
  <r>
    <s v="ORD-2024-10899"/>
    <d v="2024-06-02T00:00:00"/>
    <d v="2024-06-08T00:00:00"/>
    <n v="6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1"/>
    <s v="Unique"/>
    <n v="0.2"/>
    <n v="4917.4400000000005"/>
    <n v="1070.6700000000005"/>
    <n v="0.21772914361944434"/>
    <x v="2"/>
    <x v="0"/>
    <s v="Clean"/>
    <s v="Match"/>
    <s v="Match"/>
  </r>
  <r>
    <s v="ORD-2025-10900"/>
    <d v="2025-05-27T00:00:00"/>
    <d v="2025-06-03T00:00:00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1"/>
    <s v="Unique"/>
    <n v="0.25"/>
    <n v="3304.05"/>
    <n v="1024.6400000000003"/>
    <n v="0.31011637233092726"/>
    <x v="4"/>
    <x v="1"/>
    <s v="Clean"/>
    <s v="Match"/>
    <s v="Match"/>
  </r>
  <r>
    <s v="ORD-2024-10332"/>
    <d v="2024-12-04T00:00:0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n v="2"/>
    <s v="Review Required"/>
    <n v="0"/>
    <n v="10742.64"/>
    <n v="4265.2699999999995"/>
    <n v="0.39704113700170535"/>
    <x v="8"/>
    <x v="0"/>
    <s v="Warning"/>
    <s v="Mismatch"/>
    <s v="Match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n v="2"/>
    <s v="Review Required"/>
    <n v="0.15"/>
    <n v="9445.098"/>
    <n v="3858.8180000000002"/>
    <n v="0.40855245758170006"/>
    <x v="1"/>
    <x v="1"/>
    <s v="Warning"/>
    <s v="Mismatch"/>
    <s v="Match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n v="2"/>
    <s v="Review Required"/>
    <n v="0"/>
    <n v="10068.120000000001"/>
    <n v="1472.75"/>
    <n v="0.14627855051389932"/>
    <x v="5"/>
    <x v="1"/>
    <s v="Warning"/>
    <s v="Mismatch"/>
    <s v="Match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n v="2"/>
    <s v="Review Required"/>
    <n v="0.25"/>
    <n v="11833.92"/>
    <n v="5151"/>
    <n v="0.43527419485681834"/>
    <x v="9"/>
    <x v="1"/>
    <s v="Warning"/>
    <s v="Mismatch"/>
    <s v="Match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n v="2"/>
    <s v="Review Required"/>
    <n v="0.15"/>
    <n v="6485.3639999999996"/>
    <n v="1109.1939999999995"/>
    <n v="0.17103033846673826"/>
    <x v="4"/>
    <x v="1"/>
    <s v="Warning"/>
    <s v="Mismatch"/>
    <s v="Match"/>
  </r>
  <r>
    <s v="ORD-2025-10171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n v="2"/>
    <s v="Review Required"/>
    <n v="0"/>
    <n v="5133.96"/>
    <n v="1203.96"/>
    <n v="0.23450903396208775"/>
    <x v="7"/>
    <x v="1"/>
    <s v="Warning"/>
    <s v="Mismatch"/>
    <s v="Match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n v="2"/>
    <s v="Review Required"/>
    <n v="0.2"/>
    <n v="27211.032000000003"/>
    <n v="9270.6020000000026"/>
    <n v="0.34069277490100347"/>
    <x v="6"/>
    <x v="0"/>
    <s v="Warning"/>
    <s v="Mismatch"/>
    <s v="Match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n v="2"/>
    <s v="Review Required"/>
    <n v="0"/>
    <n v="21381.45"/>
    <n v="8141.2400000000016"/>
    <n v="0.38076182859441249"/>
    <x v="6"/>
    <x v="1"/>
    <s v="Warning"/>
    <s v="Mismatch"/>
    <s v="Match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n v="2"/>
    <s v="Review Required"/>
    <n v="0.15"/>
    <n v="3857.0449999999996"/>
    <n v="1087.7849999999994"/>
    <n v="0.28202548842442843"/>
    <x v="11"/>
    <x v="0"/>
    <s v="Invalid"/>
    <s v="Mismatch"/>
    <s v="Match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n v="2"/>
    <s v="Review Required"/>
    <n v="0.1"/>
    <n v="3510.4230000000002"/>
    <n v="1318.9230000000002"/>
    <n v="0.37571625983535323"/>
    <x v="1"/>
    <x v="0"/>
    <s v="Warning"/>
    <s v="Mismatch"/>
    <s v="Mismatch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n v="2"/>
    <s v="Review Required"/>
    <n v="0"/>
    <n v="634.13"/>
    <n v="180.77999999999997"/>
    <n v="0.28508350022865969"/>
    <x v="4"/>
    <x v="0"/>
    <s v="Warning"/>
    <s v="Mismatch"/>
    <s v="Match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n v="2"/>
    <s v="Review Required"/>
    <n v="0.1"/>
    <n v="11581.299000000001"/>
    <n v="4751.8690000000006"/>
    <n v="0.41030535521101735"/>
    <x v="2"/>
    <x v="1"/>
    <s v="Warning"/>
    <s v="Mismatch"/>
    <s v="Match"/>
  </r>
  <r>
    <m/>
    <m/>
    <m/>
    <m/>
    <m/>
    <m/>
    <x v="4"/>
    <x v="5"/>
    <m/>
    <m/>
    <x v="3"/>
    <x v="13"/>
    <m/>
    <x v="5"/>
    <m/>
    <m/>
    <m/>
    <m/>
    <m/>
    <m/>
    <x v="4"/>
    <x v="3"/>
    <m/>
    <m/>
    <m/>
    <m/>
    <m/>
    <m/>
    <x v="12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60E95-A794-4784-AE04-FF423A1D78A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17">
    <i>
      <x/>
    </i>
    <i r="1">
      <x v="4"/>
    </i>
    <i r="1">
      <x v="6"/>
    </i>
    <i r="1">
      <x v="12"/>
    </i>
    <i r="1">
      <x v="3"/>
    </i>
    <i>
      <x v="2"/>
    </i>
    <i r="1">
      <x v="5"/>
    </i>
    <i r="1">
      <x/>
    </i>
    <i r="1">
      <x v="10"/>
    </i>
    <i r="1">
      <x v="8"/>
    </i>
    <i>
      <x v="1"/>
    </i>
    <i r="1">
      <x v="11"/>
    </i>
    <i r="1">
      <x v="9"/>
    </i>
    <i r="1">
      <x v="2"/>
    </i>
    <i r="1"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5" baseField="0" baseItem="0"/>
    <dataField name="Sum of calculated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1BE75-E21F-4E44-90DB-75D123AF1E7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0"/>
        <item x="2"/>
        <item x="4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5" baseField="0" baseItem="0" numFmtId="2"/>
    <dataField name="Sum of calculated_profit" fld="26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72DFF-CA85-4FD0-A860-7890817E2257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24588-2565-4DDC-9D33-FF2C6389484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3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Average of profit_margin" fld="27" subtotal="average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0F16C-CEFD-47DE-9C44-5662FE70CA1E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3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3"/>
        <item h="1" x="0"/>
        <item h="1" x="2"/>
        <item h="1" x="1"/>
        <item h="1" x="4"/>
        <item t="default"/>
      </items>
    </pivotField>
    <pivotField axis="axisCol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1">
    <pageField fld="20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86C95-ADDB-48DA-A6C0-470112943D1D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x="1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2">
    <field x="29"/>
    <field x="28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calculated_sales" fld="2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C09E3-A533-437D-B64D-0535B17C04AA}" name="OrdersData" displayName="OrdersData" ref="A1:AG914" totalsRowShown="0" headerRowDxfId="2">
  <autoFilter ref="A1:AG914" xr:uid="{101C09E3-A533-437D-B64D-0535B17C04AA}"/>
  <tableColumns count="33">
    <tableColumn id="1" xr3:uid="{CCF073A8-FB5E-4046-A572-E0FF9AD8145B}" name="order_id"/>
    <tableColumn id="2" xr3:uid="{7DDA9FB7-9A2D-4406-A60B-75B747EE1C59}" name="order_date" dataDxfId="5"/>
    <tableColumn id="3" xr3:uid="{34BC52E0-4A59-468C-890C-CFD71FFD7121}" name="ship_date" dataDxfId="4"/>
    <tableColumn id="4" xr3:uid="{CCD7EE3D-A6BF-4465-B0B5-AB8B800DC5A4}" name="shipping_delay_days"/>
    <tableColumn id="5" xr3:uid="{885DD356-6695-499C-836F-0A50576685E4}" name="customer_id"/>
    <tableColumn id="6" xr3:uid="{65794FA7-A6E6-45EB-9FDB-7ED32C20D316}" name="customer_name"/>
    <tableColumn id="7" xr3:uid="{1ED9555A-608A-4E4B-881F-C83EC85296AE}" name="segment"/>
    <tableColumn id="8" xr3:uid="{159331C1-CA8F-4667-99F6-D71E5F9DF0FC}" name="region"/>
    <tableColumn id="9" xr3:uid="{01577FFB-B44F-43B3-901B-E56B3D8602CF}" name="state"/>
    <tableColumn id="10" xr3:uid="{01C7AC2B-EF96-42BF-8681-70433D380C32}" name="city"/>
    <tableColumn id="11" xr3:uid="{C9C1165D-36DD-4081-823E-3DEF3657A980}" name="category"/>
    <tableColumn id="12" xr3:uid="{739CB813-E562-43E8-AEE6-0E092E1225BA}" name="sub_category"/>
    <tableColumn id="13" xr3:uid="{FFC6F529-A8C2-449B-ABFC-26ECAEBBEE83}" name="product_name"/>
    <tableColumn id="14" xr3:uid="{64B2CACC-A2AD-438C-969A-F11E23402932}" name="ship_mode"/>
    <tableColumn id="15" xr3:uid="{4F38FD0E-9010-4FC3-A72E-94AD39D9F780}" name="quantity"/>
    <tableColumn id="16" xr3:uid="{D4C87E69-66A8-4B83-AB91-00E439F74900}" name="unit_price"/>
    <tableColumn id="17" xr3:uid="{D0B3725F-8D34-482F-BDD5-7A8209919E8F}" name="discount"/>
    <tableColumn id="18" xr3:uid="{4E8F80CB-BC41-44B7-9F99-9C6F6EE136FF}" name="sales"/>
    <tableColumn id="19" xr3:uid="{275FD168-23AF-4A19-981D-15E66304799B}" name="cost"/>
    <tableColumn id="20" xr3:uid="{F6597393-F961-4534-A4FE-F36E34EF04E6}" name="profit"/>
    <tableColumn id="21" xr3:uid="{76C4E1CB-3527-4CCD-8045-269C5DC3E3D7}" name="payment_status"/>
    <tableColumn id="22" xr3:uid="{4B153182-A2D9-482E-AC6F-C4E42FA59C43}" name="order_status"/>
    <tableColumn id="23" xr3:uid="{E624E2F0-660A-4381-A498-9A41ECD6768C}" name="Order_Id_Count"/>
    <tableColumn id="24" xr3:uid="{3A739D30-5AF7-48FD-AAE2-B1B548A2FE16}" name="duplicate_review_flag"/>
    <tableColumn id="25" xr3:uid="{517E269E-94FA-4FAC-B94F-25F5D2E9791E}" name="cleaned_discount"/>
    <tableColumn id="26" xr3:uid="{C38BFF16-5085-46C0-A7D7-1CB8677C456F}" name="calculated_sales"/>
    <tableColumn id="27" xr3:uid="{FC448172-7EEC-4675-8A0E-B328E4F5D58A}" name="calculated_profit"/>
    <tableColumn id="28" xr3:uid="{670F2E19-A4B6-45D3-8651-A3C108CF08C8}" name="profit_margin" dataDxfId="3"/>
    <tableColumn id="29" xr3:uid="{7A36B51D-BC0E-40DC-AE17-4EC2BDE630C4}" name="order_month"/>
    <tableColumn id="30" xr3:uid="{58FFC778-CC0D-4FB5-BDF2-53F16E13654B}" name="order_year"/>
    <tableColumn id="31" xr3:uid="{67D3163B-4C17-4421-B1BB-A59193B1E8FC}" name="data_quality_flag"/>
    <tableColumn id="32" xr3:uid="{AFF67260-218F-4941-8C75-A69F1933AF2F}" name="Sales_Mismatch"/>
    <tableColumn id="33" xr3:uid="{5EAAE3FD-9B37-44AB-B1CD-CAB187DDB38C}" name="Profit_Mismat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7B16-B3A3-4A4D-979D-A4107A6C7CFB}">
  <dimension ref="A1:C20"/>
  <sheetViews>
    <sheetView tabSelected="1" workbookViewId="0">
      <selection activeCell="E12" sqref="E12"/>
    </sheetView>
  </sheetViews>
  <sheetFormatPr defaultRowHeight="13.8"/>
  <cols>
    <col min="1" max="1" width="16" bestFit="1" customWidth="1"/>
    <col min="2" max="3" width="22.3984375" bestFit="1" customWidth="1"/>
  </cols>
  <sheetData>
    <row r="1" spans="1:3">
      <c r="A1" s="15" t="s">
        <v>2798</v>
      </c>
      <c r="B1" s="15"/>
      <c r="C1" s="15"/>
    </row>
    <row r="3" spans="1:3">
      <c r="A3" s="8" t="s">
        <v>2775</v>
      </c>
      <c r="B3" t="s">
        <v>2777</v>
      </c>
      <c r="C3" t="s">
        <v>2778</v>
      </c>
    </row>
    <row r="4" spans="1:3">
      <c r="A4" s="9" t="s">
        <v>41</v>
      </c>
      <c r="B4" s="10">
        <v>3117597.6918000001</v>
      </c>
      <c r="C4" s="10">
        <v>910445.65179999988</v>
      </c>
    </row>
    <row r="5" spans="1:3">
      <c r="A5" s="12" t="s">
        <v>66</v>
      </c>
      <c r="B5" s="10">
        <v>978726.42820000008</v>
      </c>
      <c r="C5" s="10">
        <v>289299.69819999998</v>
      </c>
    </row>
    <row r="6" spans="1:3">
      <c r="A6" s="12" t="s">
        <v>57</v>
      </c>
      <c r="B6" s="10">
        <v>784515.89809999999</v>
      </c>
      <c r="C6" s="10">
        <v>224275.32809999998</v>
      </c>
    </row>
    <row r="7" spans="1:3">
      <c r="A7" s="12" t="s">
        <v>42</v>
      </c>
      <c r="B7" s="10">
        <v>680300.50150000001</v>
      </c>
      <c r="C7" s="10">
        <v>210163.71150000003</v>
      </c>
    </row>
    <row r="8" spans="1:3">
      <c r="A8" s="12" t="s">
        <v>158</v>
      </c>
      <c r="B8" s="10">
        <v>674054.86400000018</v>
      </c>
      <c r="C8" s="10">
        <v>186706.91400000002</v>
      </c>
    </row>
    <row r="9" spans="1:3">
      <c r="A9" s="9" t="s">
        <v>74</v>
      </c>
      <c r="B9" s="10">
        <v>3111049.5140999998</v>
      </c>
      <c r="C9" s="10">
        <v>888818.05410000007</v>
      </c>
    </row>
    <row r="10" spans="1:3">
      <c r="A10" s="12" t="s">
        <v>80</v>
      </c>
      <c r="B10" s="10">
        <v>894239.8983</v>
      </c>
      <c r="C10" s="10">
        <v>262837.56830000004</v>
      </c>
    </row>
    <row r="11" spans="1:3">
      <c r="A11" s="12" t="s">
        <v>75</v>
      </c>
      <c r="B11" s="10">
        <v>814006.58799999987</v>
      </c>
      <c r="C11" s="10">
        <v>240329.00800000003</v>
      </c>
    </row>
    <row r="12" spans="1:3">
      <c r="A12" s="12" t="s">
        <v>171</v>
      </c>
      <c r="B12" s="10">
        <v>772404.55379999988</v>
      </c>
      <c r="C12" s="10">
        <v>204778.88379999998</v>
      </c>
    </row>
    <row r="13" spans="1:3">
      <c r="A13" s="12" t="s">
        <v>274</v>
      </c>
      <c r="B13" s="10">
        <v>630398.47399999993</v>
      </c>
      <c r="C13" s="10">
        <v>180872.59400000001</v>
      </c>
    </row>
    <row r="14" spans="1:3">
      <c r="A14" s="9" t="s">
        <v>28</v>
      </c>
      <c r="B14" s="10">
        <v>2779775.6386000002</v>
      </c>
      <c r="C14" s="10">
        <v>800602.28859999985</v>
      </c>
    </row>
    <row r="15" spans="1:3">
      <c r="A15" s="12" t="s">
        <v>124</v>
      </c>
      <c r="B15" s="10">
        <v>680323.40179999988</v>
      </c>
      <c r="C15" s="10">
        <v>180781.41179999997</v>
      </c>
    </row>
    <row r="16" spans="1:3">
      <c r="A16" s="12" t="s">
        <v>29</v>
      </c>
      <c r="B16" s="10">
        <v>619469.64280000003</v>
      </c>
      <c r="C16" s="10">
        <v>179549.00279999999</v>
      </c>
    </row>
    <row r="17" spans="1:3">
      <c r="A17" s="12" t="s">
        <v>153</v>
      </c>
      <c r="B17" s="10">
        <v>557129.1041</v>
      </c>
      <c r="C17" s="10">
        <v>168301.87409999996</v>
      </c>
    </row>
    <row r="18" spans="1:3">
      <c r="A18" s="12" t="s">
        <v>48</v>
      </c>
      <c r="B18" s="10">
        <v>574781.87799999991</v>
      </c>
      <c r="C18" s="10">
        <v>159295.96799999994</v>
      </c>
    </row>
    <row r="19" spans="1:3">
      <c r="A19" s="12" t="s">
        <v>91</v>
      </c>
      <c r="B19" s="10">
        <v>348071.6118999999</v>
      </c>
      <c r="C19" s="10">
        <v>112674.03189999997</v>
      </c>
    </row>
    <row r="20" spans="1:3">
      <c r="A20" s="9" t="s">
        <v>2776</v>
      </c>
      <c r="B20" s="10">
        <v>9008422.8444999997</v>
      </c>
      <c r="C20" s="10">
        <v>2599865.9944999996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A02C-76A7-48D7-ABC1-17AA7A833FFA}">
  <dimension ref="A1:C10"/>
  <sheetViews>
    <sheetView workbookViewId="0">
      <selection activeCell="E6" sqref="E6"/>
    </sheetView>
  </sheetViews>
  <sheetFormatPr defaultRowHeight="13.8"/>
  <cols>
    <col min="1" max="1" width="13.09765625" bestFit="1" customWidth="1"/>
    <col min="2" max="2" width="22.3984375" style="11" bestFit="1" customWidth="1"/>
    <col min="3" max="3" width="22.3984375" bestFit="1" customWidth="1"/>
  </cols>
  <sheetData>
    <row r="1" spans="1:3">
      <c r="A1" s="15" t="s">
        <v>2797</v>
      </c>
      <c r="B1" s="15"/>
      <c r="C1" s="15"/>
    </row>
    <row r="3" spans="1:3">
      <c r="A3" s="8" t="s">
        <v>2775</v>
      </c>
      <c r="B3" s="11" t="s">
        <v>2777</v>
      </c>
      <c r="C3" t="s">
        <v>2778</v>
      </c>
    </row>
    <row r="4" spans="1:3">
      <c r="A4" s="9" t="s">
        <v>54</v>
      </c>
      <c r="B4" s="11">
        <v>2243596.2955</v>
      </c>
      <c r="C4" s="10">
        <v>589523.23550000007</v>
      </c>
    </row>
    <row r="5" spans="1:3">
      <c r="A5" s="9" t="s">
        <v>38</v>
      </c>
      <c r="B5" s="11">
        <v>2193912.3898000005</v>
      </c>
      <c r="C5" s="10">
        <v>673467.20980000007</v>
      </c>
    </row>
    <row r="6" spans="1:3">
      <c r="A6" s="9" t="s">
        <v>25</v>
      </c>
      <c r="B6" s="11">
        <v>2156617.2257999987</v>
      </c>
      <c r="C6" s="10">
        <v>633774.42579999997</v>
      </c>
    </row>
    <row r="7" spans="1:3">
      <c r="A7" s="9" t="s">
        <v>63</v>
      </c>
      <c r="B7" s="11">
        <v>2116551.5261999997</v>
      </c>
      <c r="C7" s="10">
        <v>600346.86619999981</v>
      </c>
    </row>
    <row r="8" spans="1:3">
      <c r="A8" s="9" t="s">
        <v>2760</v>
      </c>
      <c r="B8" s="11">
        <v>297745.40720000002</v>
      </c>
      <c r="C8" s="10">
        <v>102754.25719999999</v>
      </c>
    </row>
    <row r="9" spans="1:3">
      <c r="A9" s="9" t="s">
        <v>2776</v>
      </c>
      <c r="B9" s="11">
        <v>9008422.8444999997</v>
      </c>
      <c r="C9" s="10">
        <v>2599865.9945</v>
      </c>
    </row>
    <row r="10" spans="1:3">
      <c r="B1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221D-D200-4E5C-BA9F-DCAD13D09376}">
  <dimension ref="A1:B9"/>
  <sheetViews>
    <sheetView workbookViewId="0">
      <selection sqref="A1:B1"/>
    </sheetView>
  </sheetViews>
  <sheetFormatPr defaultRowHeight="13.8"/>
  <cols>
    <col min="1" max="1" width="13.296875" bestFit="1" customWidth="1"/>
    <col min="2" max="2" width="16.19921875" bestFit="1" customWidth="1"/>
  </cols>
  <sheetData>
    <row r="1" spans="1:2">
      <c r="A1" s="15" t="s">
        <v>2799</v>
      </c>
      <c r="B1" s="15"/>
    </row>
    <row r="3" spans="1:2">
      <c r="A3" s="8" t="s">
        <v>2775</v>
      </c>
      <c r="B3" t="s">
        <v>2790</v>
      </c>
    </row>
    <row r="4" spans="1:2">
      <c r="A4" s="9" t="s">
        <v>50</v>
      </c>
      <c r="B4" s="10">
        <v>223</v>
      </c>
    </row>
    <row r="5" spans="1:2">
      <c r="A5" s="9" t="s">
        <v>44</v>
      </c>
      <c r="B5" s="10">
        <v>204</v>
      </c>
    </row>
    <row r="6" spans="1:2">
      <c r="A6" s="9" t="s">
        <v>31</v>
      </c>
      <c r="B6" s="10">
        <v>222</v>
      </c>
    </row>
    <row r="7" spans="1:2">
      <c r="A7" s="9" t="s">
        <v>59</v>
      </c>
      <c r="B7" s="10">
        <v>242</v>
      </c>
    </row>
    <row r="8" spans="1:2">
      <c r="A8" s="9" t="s">
        <v>2760</v>
      </c>
      <c r="B8" s="10">
        <v>21</v>
      </c>
    </row>
    <row r="9" spans="1:2">
      <c r="A9" s="9" t="s">
        <v>2776</v>
      </c>
      <c r="B9" s="10">
        <v>912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CF14-EA4C-4DC3-ADFF-72DBDBB1AFCE}">
  <dimension ref="A1:B8"/>
  <sheetViews>
    <sheetView workbookViewId="0">
      <selection activeCell="D16" sqref="D16"/>
    </sheetView>
  </sheetViews>
  <sheetFormatPr defaultRowHeight="13.8"/>
  <cols>
    <col min="1" max="1" width="13.19921875" bestFit="1" customWidth="1"/>
    <col min="2" max="2" width="23" bestFit="1" customWidth="1"/>
  </cols>
  <sheetData>
    <row r="1" spans="1:2" ht="20.399999999999999" customHeight="1">
      <c r="A1" s="13" t="s">
        <v>2792</v>
      </c>
      <c r="B1" s="13"/>
    </row>
    <row r="3" spans="1:2">
      <c r="A3" s="8" t="s">
        <v>2775</v>
      </c>
      <c r="B3" t="s">
        <v>2791</v>
      </c>
    </row>
    <row r="4" spans="1:2">
      <c r="A4" s="9" t="s">
        <v>37</v>
      </c>
      <c r="B4" s="7">
        <v>0.2971964651859228</v>
      </c>
    </row>
    <row r="5" spans="1:2">
      <c r="A5" s="9" t="s">
        <v>95</v>
      </c>
      <c r="B5" s="7">
        <v>0.28616370867610508</v>
      </c>
    </row>
    <row r="6" spans="1:2">
      <c r="A6" s="9" t="s">
        <v>90</v>
      </c>
      <c r="B6" s="7">
        <v>0.2645802527796251</v>
      </c>
    </row>
    <row r="7" spans="1:2">
      <c r="A7" s="9" t="s">
        <v>24</v>
      </c>
      <c r="B7" s="7">
        <v>0.2469567190022274</v>
      </c>
    </row>
    <row r="8" spans="1:2">
      <c r="A8" s="9" t="s">
        <v>2776</v>
      </c>
      <c r="B8" s="7">
        <v>0.27438772175200343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7223-9AD1-4797-9E55-7B085585668C}">
  <dimension ref="A1:E13"/>
  <sheetViews>
    <sheetView workbookViewId="0">
      <selection activeCell="F13" sqref="F13"/>
    </sheetView>
  </sheetViews>
  <sheetFormatPr defaultRowHeight="13.8"/>
  <cols>
    <col min="1" max="1" width="16.19921875" bestFit="1" customWidth="1"/>
    <col min="2" max="2" width="16.09765625" bestFit="1" customWidth="1"/>
    <col min="3" max="3" width="10.5" bestFit="1" customWidth="1"/>
    <col min="4" max="4" width="9" bestFit="1" customWidth="1"/>
    <col min="5" max="6" width="11" bestFit="1" customWidth="1"/>
  </cols>
  <sheetData>
    <row r="1" spans="1:5" ht="20.399999999999999" customHeight="1">
      <c r="A1" s="8" t="s">
        <v>19</v>
      </c>
      <c r="B1" t="s">
        <v>155</v>
      </c>
      <c r="C1" s="14"/>
      <c r="D1" s="14"/>
      <c r="E1" s="14"/>
    </row>
    <row r="3" spans="1:5">
      <c r="A3" s="8" t="s">
        <v>2790</v>
      </c>
      <c r="B3" s="8" t="s">
        <v>2794</v>
      </c>
    </row>
    <row r="4" spans="1:5">
      <c r="A4" s="8" t="s">
        <v>2775</v>
      </c>
      <c r="B4" t="s">
        <v>68</v>
      </c>
      <c r="C4" t="s">
        <v>33</v>
      </c>
      <c r="D4" t="s">
        <v>103</v>
      </c>
      <c r="E4" t="s">
        <v>2776</v>
      </c>
    </row>
    <row r="5" spans="1:5">
      <c r="A5" s="9" t="s">
        <v>38</v>
      </c>
      <c r="B5" s="10">
        <v>5</v>
      </c>
      <c r="C5" s="10"/>
      <c r="D5" s="10">
        <v>8</v>
      </c>
      <c r="E5" s="10">
        <v>13</v>
      </c>
    </row>
    <row r="6" spans="1:5">
      <c r="A6" s="9" t="s">
        <v>25</v>
      </c>
      <c r="B6" s="10">
        <v>12</v>
      </c>
      <c r="C6" s="10">
        <v>1</v>
      </c>
      <c r="D6" s="10">
        <v>7</v>
      </c>
      <c r="E6" s="10">
        <v>20</v>
      </c>
    </row>
    <row r="7" spans="1:5">
      <c r="A7" s="9" t="s">
        <v>54</v>
      </c>
      <c r="B7" s="10">
        <v>7</v>
      </c>
      <c r="C7" s="10"/>
      <c r="D7" s="10">
        <v>13</v>
      </c>
      <c r="E7" s="10">
        <v>20</v>
      </c>
    </row>
    <row r="8" spans="1:5">
      <c r="A8" s="9" t="s">
        <v>2760</v>
      </c>
      <c r="B8" s="10">
        <v>1</v>
      </c>
      <c r="C8" s="10"/>
      <c r="D8" s="10">
        <v>1</v>
      </c>
      <c r="E8" s="10">
        <v>2</v>
      </c>
    </row>
    <row r="9" spans="1:5">
      <c r="A9" s="9" t="s">
        <v>63</v>
      </c>
      <c r="B9" s="10">
        <v>7</v>
      </c>
      <c r="C9" s="10">
        <v>1</v>
      </c>
      <c r="D9" s="10">
        <v>6</v>
      </c>
      <c r="E9" s="10">
        <v>14</v>
      </c>
    </row>
    <row r="10" spans="1:5">
      <c r="A10" s="9" t="s">
        <v>2776</v>
      </c>
      <c r="B10" s="10">
        <v>32</v>
      </c>
      <c r="C10" s="10">
        <v>2</v>
      </c>
      <c r="D10" s="10">
        <v>35</v>
      </c>
      <c r="E10" s="10">
        <v>69</v>
      </c>
    </row>
    <row r="13" spans="1:5">
      <c r="A13" s="15" t="s">
        <v>2793</v>
      </c>
      <c r="B13" s="15"/>
      <c r="C13" s="15"/>
    </row>
  </sheetData>
  <mergeCells count="1">
    <mergeCell ref="A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1863-3EFA-4A3E-ADF8-AE15E07038FE}">
  <dimension ref="A1:B28"/>
  <sheetViews>
    <sheetView workbookViewId="0">
      <selection activeCell="C5" sqref="C5"/>
    </sheetView>
  </sheetViews>
  <sheetFormatPr defaultRowHeight="13.8"/>
  <cols>
    <col min="1" max="1" width="13.296875" bestFit="1" customWidth="1"/>
    <col min="2" max="2" width="22.3984375" bestFit="1" customWidth="1"/>
  </cols>
  <sheetData>
    <row r="1" spans="1:2" ht="15.6">
      <c r="A1" s="13" t="s">
        <v>2795</v>
      </c>
      <c r="B1" s="13"/>
    </row>
    <row r="3" spans="1:2">
      <c r="A3" s="8" t="s">
        <v>2775</v>
      </c>
      <c r="B3" t="s">
        <v>2777</v>
      </c>
    </row>
    <row r="4" spans="1:2">
      <c r="A4" s="9">
        <v>2024</v>
      </c>
      <c r="B4" s="11">
        <v>4795278.0136999991</v>
      </c>
    </row>
    <row r="5" spans="1:2">
      <c r="A5" s="12" t="s">
        <v>2788</v>
      </c>
      <c r="B5" s="11">
        <v>346225.85529999994</v>
      </c>
    </row>
    <row r="6" spans="1:2">
      <c r="A6" s="12" t="s">
        <v>2779</v>
      </c>
      <c r="B6" s="11">
        <v>456102.38949999999</v>
      </c>
    </row>
    <row r="7" spans="1:2">
      <c r="A7" s="12" t="s">
        <v>2780</v>
      </c>
      <c r="B7" s="11">
        <v>397872.44199999998</v>
      </c>
    </row>
    <row r="8" spans="1:2">
      <c r="A8" s="12" t="s">
        <v>2781</v>
      </c>
      <c r="B8" s="11">
        <v>394957.54250000004</v>
      </c>
    </row>
    <row r="9" spans="1:2">
      <c r="A9" s="12" t="s">
        <v>2784</v>
      </c>
      <c r="B9" s="11">
        <v>458263.22829999996</v>
      </c>
    </row>
    <row r="10" spans="1:2">
      <c r="A10" s="12" t="s">
        <v>2782</v>
      </c>
      <c r="B10" s="11">
        <v>492667.92249999993</v>
      </c>
    </row>
    <row r="11" spans="1:2">
      <c r="A11" s="12" t="s">
        <v>2786</v>
      </c>
      <c r="B11" s="11">
        <v>421320.18530000001</v>
      </c>
    </row>
    <row r="12" spans="1:2">
      <c r="A12" s="12" t="s">
        <v>2785</v>
      </c>
      <c r="B12" s="11">
        <v>326571.84450000001</v>
      </c>
    </row>
    <row r="13" spans="1:2">
      <c r="A13" s="12" t="s">
        <v>2787</v>
      </c>
      <c r="B13" s="11">
        <v>402451.14079999994</v>
      </c>
    </row>
    <row r="14" spans="1:2">
      <c r="A14" s="12" t="s">
        <v>2783</v>
      </c>
      <c r="B14" s="11">
        <v>468039.397</v>
      </c>
    </row>
    <row r="15" spans="1:2">
      <c r="A15" s="12" t="s">
        <v>2789</v>
      </c>
      <c r="B15" s="11">
        <v>339977.22720000002</v>
      </c>
    </row>
    <row r="16" spans="1:2">
      <c r="A16" s="12" t="s">
        <v>2796</v>
      </c>
      <c r="B16" s="11">
        <v>290828.83880000003</v>
      </c>
    </row>
    <row r="17" spans="1:2">
      <c r="A17" s="9">
        <v>2025</v>
      </c>
      <c r="B17" s="11">
        <v>4213144.8307999996</v>
      </c>
    </row>
    <row r="18" spans="1:2">
      <c r="A18" s="12" t="s">
        <v>2788</v>
      </c>
      <c r="B18" s="11">
        <v>408895.67329999979</v>
      </c>
    </row>
    <row r="19" spans="1:2">
      <c r="A19" s="12" t="s">
        <v>2779</v>
      </c>
      <c r="B19" s="11">
        <v>561374.88150000002</v>
      </c>
    </row>
    <row r="20" spans="1:2">
      <c r="A20" s="12" t="s">
        <v>2780</v>
      </c>
      <c r="B20" s="11">
        <v>413911.7944999999</v>
      </c>
    </row>
    <row r="21" spans="1:2">
      <c r="A21" s="12" t="s">
        <v>2781</v>
      </c>
      <c r="B21" s="11">
        <v>460200.45880000002</v>
      </c>
    </row>
    <row r="22" spans="1:2">
      <c r="A22" s="12" t="s">
        <v>2784</v>
      </c>
      <c r="B22" s="11">
        <v>329634.58200000005</v>
      </c>
    </row>
    <row r="23" spans="1:2">
      <c r="A23" s="12" t="s">
        <v>2782</v>
      </c>
      <c r="B23" s="11">
        <v>369376.755</v>
      </c>
    </row>
    <row r="24" spans="1:2">
      <c r="A24" s="12" t="s">
        <v>2786</v>
      </c>
      <c r="B24" s="11">
        <v>424959.94220000005</v>
      </c>
    </row>
    <row r="25" spans="1:2">
      <c r="A25" s="12" t="s">
        <v>2785</v>
      </c>
      <c r="B25" s="11">
        <v>563185.02</v>
      </c>
    </row>
    <row r="26" spans="1:2">
      <c r="A26" s="12" t="s">
        <v>2787</v>
      </c>
      <c r="B26" s="11">
        <v>444193.56549999991</v>
      </c>
    </row>
    <row r="27" spans="1:2">
      <c r="A27" s="12" t="s">
        <v>2783</v>
      </c>
      <c r="B27" s="11">
        <v>237412.15800000002</v>
      </c>
    </row>
    <row r="28" spans="1:2">
      <c r="A28" s="9" t="s">
        <v>2776</v>
      </c>
      <c r="B28" s="11">
        <v>9008422.8444999997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4"/>
  <sheetViews>
    <sheetView topLeftCell="A2" workbookViewId="0">
      <selection activeCell="D10" sqref="D10"/>
    </sheetView>
  </sheetViews>
  <sheetFormatPr defaultRowHeight="13.8"/>
  <cols>
    <col min="1" max="1" width="16" style="1" customWidth="1"/>
    <col min="2" max="2" width="16" style="4" customWidth="1"/>
    <col min="3" max="3" width="16" style="1" customWidth="1"/>
    <col min="4" max="4" width="21.09765625" style="1" customWidth="1"/>
    <col min="5" max="5" width="16" style="1" customWidth="1"/>
    <col min="6" max="6" width="16.796875" style="1" customWidth="1"/>
    <col min="7" max="7" width="16" customWidth="1"/>
    <col min="8" max="20" width="16" style="1" customWidth="1"/>
    <col min="21" max="21" width="16.59765625" style="1" customWidth="1"/>
    <col min="22" max="22" width="16" style="1" customWidth="1"/>
    <col min="23" max="23" width="16.3984375" style="1" customWidth="1"/>
    <col min="24" max="24" width="21.796875" style="1" customWidth="1"/>
    <col min="25" max="25" width="18" customWidth="1"/>
    <col min="26" max="27" width="17.09765625" customWidth="1"/>
    <col min="28" max="28" width="14.296875" style="7" customWidth="1"/>
    <col min="29" max="29" width="13.8984375" customWidth="1"/>
    <col min="30" max="30" width="14.296875" customWidth="1"/>
    <col min="31" max="32" width="17.3984375" customWidth="1"/>
    <col min="33" max="33" width="18.09765625" customWidth="1"/>
  </cols>
  <sheetData>
    <row r="1" spans="1:33" ht="36" customHeight="1">
      <c r="A1" s="2" t="s">
        <v>0</v>
      </c>
      <c r="B1" s="2" t="s">
        <v>1</v>
      </c>
      <c r="C1" s="2" t="s">
        <v>2</v>
      </c>
      <c r="D1" s="2" t="s">
        <v>2761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2762</v>
      </c>
      <c r="X1" s="2" t="s">
        <v>2763</v>
      </c>
      <c r="Y1" s="2" t="s">
        <v>2766</v>
      </c>
      <c r="Z1" s="2" t="s">
        <v>2767</v>
      </c>
      <c r="AA1" s="2" t="s">
        <v>2768</v>
      </c>
      <c r="AB1" s="6" t="s">
        <v>2769</v>
      </c>
      <c r="AC1" s="6" t="s">
        <v>2770</v>
      </c>
      <c r="AD1" s="6" t="s">
        <v>2771</v>
      </c>
      <c r="AE1" s="6" t="s">
        <v>2772</v>
      </c>
      <c r="AF1" s="6" t="s">
        <v>2773</v>
      </c>
      <c r="AG1" s="6" t="s">
        <v>2774</v>
      </c>
    </row>
    <row r="2" spans="1:33">
      <c r="A2" t="s">
        <v>21</v>
      </c>
      <c r="B2" s="3">
        <v>45494</v>
      </c>
      <c r="C2" s="3">
        <v>45500</v>
      </c>
      <c r="D2">
        <f t="shared" ref="D2:D65" si="0"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>
        <v>1</v>
      </c>
      <c r="X2" t="s">
        <v>2765</v>
      </c>
      <c r="Y2">
        <f>IF(
Q2="",
0,
IF(Q2&gt;1,
Q2/100,
Q2)
)</f>
        <v>0.2</v>
      </c>
      <c r="Z2">
        <f>O2*P2*(1-Y2)</f>
        <v>19049.28</v>
      </c>
      <c r="AA2">
        <f>Z2-S2</f>
        <v>3207.3899999999994</v>
      </c>
      <c r="AB2" s="7">
        <f>IF(Z2=0,0,
AA2/Z2)</f>
        <v>0.16837329284886357</v>
      </c>
      <c r="AC2" t="str">
        <f>TEXT(B2,"mmmm")</f>
        <v>July</v>
      </c>
      <c r="AD2">
        <f>YEAR(B2)</f>
        <v>2024</v>
      </c>
      <c r="AE2" t="str">
        <f>IF(
OR(
Y2&lt;0,
D2&lt;0
),
"Invalid",
IF(
X2="Review Required",
"Warning",
"Clean"
)
)</f>
        <v>Clean</v>
      </c>
      <c r="AF2" t="str">
        <f>IF(ABS(R2-Z2)&gt;0.01,
"Mismatch",
"Match")</f>
        <v>Match</v>
      </c>
      <c r="AG2" t="str">
        <f>IF(ABS(T2-AA2)&gt;0.01,
"Mismatch",
"Match")</f>
        <v>Match</v>
      </c>
    </row>
    <row r="3" spans="1:33">
      <c r="A3" t="s">
        <v>34</v>
      </c>
      <c r="B3" s="3">
        <v>45535</v>
      </c>
      <c r="C3" s="3">
        <v>45540</v>
      </c>
      <c r="D3">
        <f t="shared" si="0"/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>
        <v>1</v>
      </c>
      <c r="X3" t="s">
        <v>2765</v>
      </c>
      <c r="Y3">
        <f t="shared" ref="Y3:Y66" si="1">IF(
Q3="",
0,
IF(Q3&gt;1,
Q3/100,
Q3)
)</f>
        <v>0</v>
      </c>
      <c r="Z3">
        <f t="shared" ref="Z3:Z66" si="2">O3*P3*(1-Y3)</f>
        <v>7312.5</v>
      </c>
      <c r="AA3">
        <f t="shared" ref="AA3:AA66" si="3">Z3-S3</f>
        <v>2407.7700000000004</v>
      </c>
      <c r="AB3" s="7">
        <f t="shared" ref="AB3:AB66" si="4">IF(Z3=0,0,
AA3/Z3)</f>
        <v>0.32926769230769237</v>
      </c>
      <c r="AC3" t="str">
        <f t="shared" ref="AC3:AC66" si="5">TEXT(B3,"mmmm")</f>
        <v>August</v>
      </c>
      <c r="AD3">
        <f t="shared" ref="AD3:AD66" si="6">YEAR(B3)</f>
        <v>2024</v>
      </c>
      <c r="AE3" t="str">
        <f t="shared" ref="AE3:AE66" si="7">IF(
OR(
Y3&lt;0,
D3&lt;0
),
"Invalid",
IF(
X3="Review Required",
"Warning",
"Clean"
)
)</f>
        <v>Clean</v>
      </c>
      <c r="AF3" t="str">
        <f t="shared" ref="AF3:AF66" si="8">IF(ABS(R3-Z3)&gt;0.01,
"Mismatch",
"Match")</f>
        <v>Match</v>
      </c>
      <c r="AG3" t="str">
        <f t="shared" ref="AG3:AG66" si="9">IF(ABS(T3-AA3)&gt;0.01,
"Mismatch",
"Match")</f>
        <v>Match</v>
      </c>
    </row>
    <row r="4" spans="1:33">
      <c r="A4" t="s">
        <v>45</v>
      </c>
      <c r="B4" s="3">
        <v>45451</v>
      </c>
      <c r="C4" s="3">
        <v>45458</v>
      </c>
      <c r="D4">
        <f t="shared" si="0"/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>
        <v>1</v>
      </c>
      <c r="X4" t="s">
        <v>2765</v>
      </c>
      <c r="Y4">
        <f t="shared" si="1"/>
        <v>0.55000000000000004</v>
      </c>
      <c r="Z4">
        <f t="shared" si="2"/>
        <v>1917.7739999999999</v>
      </c>
      <c r="AA4">
        <f t="shared" si="3"/>
        <v>-547.91600000000017</v>
      </c>
      <c r="AB4" s="7">
        <f t="shared" si="4"/>
        <v>-0.28570415492127865</v>
      </c>
      <c r="AC4" t="str">
        <f t="shared" si="5"/>
        <v>June</v>
      </c>
      <c r="AD4">
        <f t="shared" si="6"/>
        <v>2024</v>
      </c>
      <c r="AE4" t="str">
        <f t="shared" si="7"/>
        <v>Clean</v>
      </c>
      <c r="AF4" t="str">
        <f t="shared" si="8"/>
        <v>Mismatch</v>
      </c>
      <c r="AG4" t="str">
        <f t="shared" si="9"/>
        <v>Mismatch</v>
      </c>
    </row>
    <row r="5" spans="1:33">
      <c r="A5" t="s">
        <v>51</v>
      </c>
      <c r="B5" s="3">
        <v>45624</v>
      </c>
      <c r="C5" s="3">
        <v>45625</v>
      </c>
      <c r="D5">
        <f t="shared" si="0"/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>
        <v>1</v>
      </c>
      <c r="X5" t="s">
        <v>2765</v>
      </c>
      <c r="Y5">
        <f t="shared" si="1"/>
        <v>0.25</v>
      </c>
      <c r="Z5">
        <f t="shared" si="2"/>
        <v>8317.9349999999995</v>
      </c>
      <c r="AA5">
        <f t="shared" si="3"/>
        <v>1521.1649999999991</v>
      </c>
      <c r="AB5" s="7">
        <f t="shared" si="4"/>
        <v>0.18287772145370204</v>
      </c>
      <c r="AC5" t="str">
        <f t="shared" si="5"/>
        <v>November</v>
      </c>
      <c r="AD5">
        <f t="shared" si="6"/>
        <v>2024</v>
      </c>
      <c r="AE5" t="str">
        <f t="shared" si="7"/>
        <v>Clean</v>
      </c>
      <c r="AF5" t="str">
        <f t="shared" si="8"/>
        <v>Match</v>
      </c>
      <c r="AG5" t="str">
        <f t="shared" si="9"/>
        <v>Match</v>
      </c>
    </row>
    <row r="6" spans="1:33">
      <c r="A6" t="s">
        <v>60</v>
      </c>
      <c r="B6" s="3">
        <v>45898</v>
      </c>
      <c r="C6" s="3">
        <v>45901</v>
      </c>
      <c r="D6">
        <f t="shared" si="0"/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>
        <v>1</v>
      </c>
      <c r="X6" t="s">
        <v>2765</v>
      </c>
      <c r="Y6">
        <f t="shared" si="1"/>
        <v>0</v>
      </c>
      <c r="Z6">
        <f t="shared" si="2"/>
        <v>20816.32</v>
      </c>
      <c r="AA6">
        <f t="shared" si="3"/>
        <v>3110.9500000000007</v>
      </c>
      <c r="AB6" s="7">
        <f t="shared" si="4"/>
        <v>0.14944764492475138</v>
      </c>
      <c r="AC6" t="str">
        <f t="shared" si="5"/>
        <v>August</v>
      </c>
      <c r="AD6">
        <f t="shared" si="6"/>
        <v>2025</v>
      </c>
      <c r="AE6" t="str">
        <f t="shared" si="7"/>
        <v>Clean</v>
      </c>
      <c r="AF6" t="str">
        <f t="shared" si="8"/>
        <v>Match</v>
      </c>
      <c r="AG6" t="str">
        <f t="shared" si="9"/>
        <v>Match</v>
      </c>
    </row>
    <row r="7" spans="1:33">
      <c r="A7" t="s">
        <v>69</v>
      </c>
      <c r="B7" s="3">
        <v>45436</v>
      </c>
      <c r="C7" s="3">
        <v>45440</v>
      </c>
      <c r="D7">
        <f t="shared" si="0"/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>
        <v>1</v>
      </c>
      <c r="X7" t="s">
        <v>2765</v>
      </c>
      <c r="Y7">
        <f t="shared" si="1"/>
        <v>0.2</v>
      </c>
      <c r="Z7">
        <f t="shared" si="2"/>
        <v>2527.4639999999999</v>
      </c>
      <c r="AA7">
        <f t="shared" si="3"/>
        <v>993.88400000000001</v>
      </c>
      <c r="AB7" s="7">
        <f t="shared" si="4"/>
        <v>0.39323369195367375</v>
      </c>
      <c r="AC7" t="str">
        <f t="shared" si="5"/>
        <v>May</v>
      </c>
      <c r="AD7">
        <f t="shared" si="6"/>
        <v>2024</v>
      </c>
      <c r="AE7" t="str">
        <f t="shared" si="7"/>
        <v>Clean</v>
      </c>
      <c r="AF7" t="str">
        <f t="shared" si="8"/>
        <v>Match</v>
      </c>
      <c r="AG7" t="str">
        <f t="shared" si="9"/>
        <v>Match</v>
      </c>
    </row>
    <row r="8" spans="1:33">
      <c r="A8" t="s">
        <v>77</v>
      </c>
      <c r="B8" s="3">
        <v>45757</v>
      </c>
      <c r="C8" s="3">
        <v>45763</v>
      </c>
      <c r="D8">
        <f t="shared" si="0"/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>
        <v>1</v>
      </c>
      <c r="X8" t="s">
        <v>2765</v>
      </c>
      <c r="Y8">
        <f t="shared" si="1"/>
        <v>0.15</v>
      </c>
      <c r="Z8">
        <f t="shared" si="2"/>
        <v>5847.5579999999991</v>
      </c>
      <c r="AA8">
        <f t="shared" si="3"/>
        <v>1120.3079999999991</v>
      </c>
      <c r="AB8" s="7">
        <f t="shared" si="4"/>
        <v>0.19158561573908275</v>
      </c>
      <c r="AC8" t="str">
        <f t="shared" si="5"/>
        <v>April</v>
      </c>
      <c r="AD8">
        <f t="shared" si="6"/>
        <v>2025</v>
      </c>
      <c r="AE8" t="str">
        <f t="shared" si="7"/>
        <v>Clean</v>
      </c>
      <c r="AF8" t="str">
        <f t="shared" si="8"/>
        <v>Match</v>
      </c>
      <c r="AG8" t="str">
        <f t="shared" si="9"/>
        <v>Match</v>
      </c>
    </row>
    <row r="9" spans="1:33">
      <c r="A9" t="s">
        <v>82</v>
      </c>
      <c r="B9" s="3">
        <v>45711</v>
      </c>
      <c r="C9" s="3">
        <v>45714</v>
      </c>
      <c r="D9">
        <f t="shared" si="0"/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>
        <v>1</v>
      </c>
      <c r="X9" t="s">
        <v>2765</v>
      </c>
      <c r="Y9">
        <f t="shared" si="1"/>
        <v>0</v>
      </c>
      <c r="Z9">
        <f t="shared" si="2"/>
        <v>2980.71</v>
      </c>
      <c r="AA9">
        <f t="shared" si="3"/>
        <v>623.49000000000024</v>
      </c>
      <c r="AB9" s="7">
        <f t="shared" si="4"/>
        <v>0.20917499521925992</v>
      </c>
      <c r="AC9" t="str">
        <f t="shared" si="5"/>
        <v>February</v>
      </c>
      <c r="AD9">
        <f t="shared" si="6"/>
        <v>2025</v>
      </c>
      <c r="AE9" t="str">
        <f t="shared" si="7"/>
        <v>Clean</v>
      </c>
      <c r="AF9" t="str">
        <f t="shared" si="8"/>
        <v>Match</v>
      </c>
      <c r="AG9" t="str">
        <f t="shared" si="9"/>
        <v>Match</v>
      </c>
    </row>
    <row r="10" spans="1:33">
      <c r="A10" t="s">
        <v>87</v>
      </c>
      <c r="B10" s="3">
        <v>45601</v>
      </c>
      <c r="C10" s="3">
        <v>45606</v>
      </c>
      <c r="D10">
        <f t="shared" si="0"/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>
        <v>1</v>
      </c>
      <c r="X10" t="s">
        <v>2765</v>
      </c>
      <c r="Y10">
        <f t="shared" si="1"/>
        <v>0</v>
      </c>
      <c r="Z10">
        <f t="shared" si="2"/>
        <v>25073.599999999999</v>
      </c>
      <c r="AA10">
        <f t="shared" si="3"/>
        <v>7726.369999999999</v>
      </c>
      <c r="AB10" s="7">
        <f t="shared" si="4"/>
        <v>0.30814761342607361</v>
      </c>
      <c r="AC10" t="str">
        <f t="shared" si="5"/>
        <v>November</v>
      </c>
      <c r="AD10">
        <f t="shared" si="6"/>
        <v>2024</v>
      </c>
      <c r="AE10" t="str">
        <f t="shared" si="7"/>
        <v>Clean</v>
      </c>
      <c r="AF10" t="str">
        <f t="shared" si="8"/>
        <v>Match</v>
      </c>
      <c r="AG10" t="str">
        <f t="shared" si="9"/>
        <v>Match</v>
      </c>
    </row>
    <row r="11" spans="1:33">
      <c r="A11" t="s">
        <v>93</v>
      </c>
      <c r="B11" s="3">
        <v>45907</v>
      </c>
      <c r="C11" s="3">
        <v>45912</v>
      </c>
      <c r="D11">
        <f t="shared" si="0"/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>
        <v>1</v>
      </c>
      <c r="X11" t="s">
        <v>2765</v>
      </c>
      <c r="Y11">
        <f t="shared" si="1"/>
        <v>0.2</v>
      </c>
      <c r="Z11">
        <f t="shared" si="2"/>
        <v>6134.6880000000001</v>
      </c>
      <c r="AA11">
        <f t="shared" si="3"/>
        <v>2334.498</v>
      </c>
      <c r="AB11" s="7">
        <f t="shared" si="4"/>
        <v>0.38054062407085737</v>
      </c>
      <c r="AC11" t="str">
        <f t="shared" si="5"/>
        <v>September</v>
      </c>
      <c r="AD11">
        <f t="shared" si="6"/>
        <v>2025</v>
      </c>
      <c r="AE11" t="str">
        <f t="shared" si="7"/>
        <v>Clean</v>
      </c>
      <c r="AF11" t="str">
        <f t="shared" si="8"/>
        <v>Match</v>
      </c>
      <c r="AG11" t="str">
        <f t="shared" si="9"/>
        <v>Match</v>
      </c>
    </row>
    <row r="12" spans="1:33">
      <c r="A12" t="s">
        <v>97</v>
      </c>
      <c r="B12" s="3">
        <v>45797</v>
      </c>
      <c r="C12" s="3">
        <v>45797</v>
      </c>
      <c r="D12">
        <f t="shared" si="0"/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>
        <v>1</v>
      </c>
      <c r="X12" t="s">
        <v>2765</v>
      </c>
      <c r="Y12">
        <f t="shared" si="1"/>
        <v>0.05</v>
      </c>
      <c r="Z12">
        <f t="shared" si="2"/>
        <v>10074.2655</v>
      </c>
      <c r="AA12">
        <f t="shared" si="3"/>
        <v>4025.9954999999991</v>
      </c>
      <c r="AB12" s="7">
        <f t="shared" si="4"/>
        <v>0.39963166545491574</v>
      </c>
      <c r="AC12" t="str">
        <f t="shared" si="5"/>
        <v>May</v>
      </c>
      <c r="AD12">
        <f t="shared" si="6"/>
        <v>2025</v>
      </c>
      <c r="AE12" t="str">
        <f t="shared" si="7"/>
        <v>Clean</v>
      </c>
      <c r="AF12" t="str">
        <f t="shared" si="8"/>
        <v>Match</v>
      </c>
      <c r="AG12" t="str">
        <f t="shared" si="9"/>
        <v>Match</v>
      </c>
    </row>
    <row r="13" spans="1:33">
      <c r="A13" t="s">
        <v>104</v>
      </c>
      <c r="B13" s="3">
        <v>45495</v>
      </c>
      <c r="C13" s="3">
        <v>45496</v>
      </c>
      <c r="D13">
        <f t="shared" si="0"/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>
        <v>1</v>
      </c>
      <c r="X13" t="s">
        <v>2765</v>
      </c>
      <c r="Y13">
        <f t="shared" si="1"/>
        <v>0.2</v>
      </c>
      <c r="Z13">
        <f t="shared" si="2"/>
        <v>9628.5600000000013</v>
      </c>
      <c r="AA13">
        <f t="shared" si="3"/>
        <v>1589.9700000000012</v>
      </c>
      <c r="AB13" s="7">
        <f t="shared" si="4"/>
        <v>0.16513061143099289</v>
      </c>
      <c r="AC13" t="str">
        <f t="shared" si="5"/>
        <v>July</v>
      </c>
      <c r="AD13">
        <f t="shared" si="6"/>
        <v>2024</v>
      </c>
      <c r="AE13" t="str">
        <f t="shared" si="7"/>
        <v>Clean</v>
      </c>
      <c r="AF13" t="str">
        <f t="shared" si="8"/>
        <v>Match</v>
      </c>
      <c r="AG13" t="str">
        <f t="shared" si="9"/>
        <v>Match</v>
      </c>
    </row>
    <row r="14" spans="1:33">
      <c r="A14" t="s">
        <v>107</v>
      </c>
      <c r="B14" s="3">
        <v>45646</v>
      </c>
      <c r="C14" s="3">
        <v>45647</v>
      </c>
      <c r="D14">
        <f t="shared" si="0"/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>
        <v>1</v>
      </c>
      <c r="X14" t="s">
        <v>2765</v>
      </c>
      <c r="Y14">
        <f t="shared" si="1"/>
        <v>0.15</v>
      </c>
      <c r="Z14">
        <f t="shared" si="2"/>
        <v>596.81899999999996</v>
      </c>
      <c r="AA14">
        <f t="shared" si="3"/>
        <v>216.56899999999996</v>
      </c>
      <c r="AB14" s="7">
        <f t="shared" si="4"/>
        <v>0.36287216057129545</v>
      </c>
      <c r="AC14" t="str">
        <f t="shared" si="5"/>
        <v>December</v>
      </c>
      <c r="AD14">
        <f t="shared" si="6"/>
        <v>2024</v>
      </c>
      <c r="AE14" t="str">
        <f t="shared" si="7"/>
        <v>Clean</v>
      </c>
      <c r="AF14" t="str">
        <f t="shared" si="8"/>
        <v>Match</v>
      </c>
      <c r="AG14" t="str">
        <f t="shared" si="9"/>
        <v>Match</v>
      </c>
    </row>
    <row r="15" spans="1:33">
      <c r="A15" t="s">
        <v>112</v>
      </c>
      <c r="B15" s="3">
        <v>45942</v>
      </c>
      <c r="C15" s="3">
        <v>45946</v>
      </c>
      <c r="D15">
        <f t="shared" si="0"/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>
        <v>1</v>
      </c>
      <c r="X15" t="s">
        <v>2765</v>
      </c>
      <c r="Y15">
        <f t="shared" si="1"/>
        <v>0.05</v>
      </c>
      <c r="Z15">
        <f t="shared" si="2"/>
        <v>26365.387999999995</v>
      </c>
      <c r="AA15">
        <f t="shared" si="3"/>
        <v>4059.1479999999938</v>
      </c>
      <c r="AB15" s="7">
        <f t="shared" si="4"/>
        <v>0.15395745361304733</v>
      </c>
      <c r="AC15" t="str">
        <f t="shared" si="5"/>
        <v>October</v>
      </c>
      <c r="AD15">
        <f t="shared" si="6"/>
        <v>2025</v>
      </c>
      <c r="AE15" t="str">
        <f t="shared" si="7"/>
        <v>Clean</v>
      </c>
      <c r="AF15" t="str">
        <f t="shared" si="8"/>
        <v>Match</v>
      </c>
      <c r="AG15" t="str">
        <f t="shared" si="9"/>
        <v>Match</v>
      </c>
    </row>
    <row r="16" spans="1:33">
      <c r="A16" t="s">
        <v>116</v>
      </c>
      <c r="B16" s="3">
        <v>45653</v>
      </c>
      <c r="C16" s="3">
        <v>45654</v>
      </c>
      <c r="D16">
        <f t="shared" si="0"/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>
        <v>1</v>
      </c>
      <c r="X16" t="s">
        <v>2765</v>
      </c>
      <c r="Y16">
        <f t="shared" si="1"/>
        <v>0.25</v>
      </c>
      <c r="Z16">
        <f t="shared" si="2"/>
        <v>4106.7449999999999</v>
      </c>
      <c r="AA16">
        <f t="shared" si="3"/>
        <v>1440.4449999999997</v>
      </c>
      <c r="AB16" s="7">
        <f t="shared" si="4"/>
        <v>0.35075102057712365</v>
      </c>
      <c r="AC16" t="str">
        <f t="shared" si="5"/>
        <v>December</v>
      </c>
      <c r="AD16">
        <f t="shared" si="6"/>
        <v>2024</v>
      </c>
      <c r="AE16" t="str">
        <f t="shared" si="7"/>
        <v>Clean</v>
      </c>
      <c r="AF16" t="str">
        <f t="shared" si="8"/>
        <v>Match</v>
      </c>
      <c r="AG16" t="str">
        <f t="shared" si="9"/>
        <v>Match</v>
      </c>
    </row>
    <row r="17" spans="1:33">
      <c r="A17" t="s">
        <v>120</v>
      </c>
      <c r="B17" s="3">
        <v>45482</v>
      </c>
      <c r="C17" s="3">
        <v>45482</v>
      </c>
      <c r="D17">
        <f t="shared" si="0"/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>
        <v>1</v>
      </c>
      <c r="X17" t="s">
        <v>2765</v>
      </c>
      <c r="Y17">
        <f t="shared" si="1"/>
        <v>0</v>
      </c>
      <c r="Z17">
        <f t="shared" si="2"/>
        <v>23794.560000000001</v>
      </c>
      <c r="AA17">
        <f t="shared" si="3"/>
        <v>8096.090000000002</v>
      </c>
      <c r="AB17" s="7">
        <f t="shared" si="4"/>
        <v>0.34024962008122872</v>
      </c>
      <c r="AC17" t="str">
        <f t="shared" si="5"/>
        <v>July</v>
      </c>
      <c r="AD17">
        <f t="shared" si="6"/>
        <v>2024</v>
      </c>
      <c r="AE17" t="str">
        <f t="shared" si="7"/>
        <v>Clean</v>
      </c>
      <c r="AF17" t="str">
        <f t="shared" si="8"/>
        <v>Match</v>
      </c>
      <c r="AG17" t="str">
        <f t="shared" si="9"/>
        <v>Match</v>
      </c>
    </row>
    <row r="18" spans="1:33">
      <c r="A18" t="s">
        <v>126</v>
      </c>
      <c r="B18" s="3">
        <v>45420</v>
      </c>
      <c r="C18" s="3">
        <v>45427</v>
      </c>
      <c r="D18">
        <f t="shared" si="0"/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>
        <v>1</v>
      </c>
      <c r="X18" t="s">
        <v>2765</v>
      </c>
      <c r="Y18">
        <f t="shared" si="1"/>
        <v>0.25</v>
      </c>
      <c r="Z18">
        <f t="shared" si="2"/>
        <v>9970.5300000000007</v>
      </c>
      <c r="AA18">
        <f t="shared" si="3"/>
        <v>4302.3600000000006</v>
      </c>
      <c r="AB18" s="7">
        <f t="shared" si="4"/>
        <v>0.43150765305354882</v>
      </c>
      <c r="AC18" t="str">
        <f t="shared" si="5"/>
        <v>May</v>
      </c>
      <c r="AD18">
        <f t="shared" si="6"/>
        <v>2024</v>
      </c>
      <c r="AE18" t="str">
        <f t="shared" si="7"/>
        <v>Clean</v>
      </c>
      <c r="AF18" t="str">
        <f t="shared" si="8"/>
        <v>Match</v>
      </c>
      <c r="AG18" t="str">
        <f t="shared" si="9"/>
        <v>Match</v>
      </c>
    </row>
    <row r="19" spans="1:33">
      <c r="A19" t="s">
        <v>130</v>
      </c>
      <c r="B19" s="3">
        <v>45298</v>
      </c>
      <c r="C19" s="3">
        <v>45299</v>
      </c>
      <c r="D19">
        <f t="shared" si="0"/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>
        <v>1</v>
      </c>
      <c r="X19" t="s">
        <v>2765</v>
      </c>
      <c r="Y19">
        <f t="shared" si="1"/>
        <v>0</v>
      </c>
      <c r="Z19">
        <f t="shared" si="2"/>
        <v>7633.9</v>
      </c>
      <c r="AA19">
        <f t="shared" si="3"/>
        <v>2926.99</v>
      </c>
      <c r="AB19" s="7">
        <f t="shared" si="4"/>
        <v>0.38342000812166782</v>
      </c>
      <c r="AC19" t="str">
        <f t="shared" si="5"/>
        <v>January</v>
      </c>
      <c r="AD19">
        <f t="shared" si="6"/>
        <v>2024</v>
      </c>
      <c r="AE19" t="str">
        <f t="shared" si="7"/>
        <v>Clean</v>
      </c>
      <c r="AF19" t="str">
        <f t="shared" si="8"/>
        <v>Match</v>
      </c>
      <c r="AG19" t="str">
        <f t="shared" si="9"/>
        <v>Match</v>
      </c>
    </row>
    <row r="20" spans="1:33">
      <c r="A20" t="s">
        <v>134</v>
      </c>
      <c r="B20" s="3">
        <v>45853</v>
      </c>
      <c r="C20" s="3">
        <v>45855</v>
      </c>
      <c r="D20">
        <f t="shared" si="0"/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>
        <v>1</v>
      </c>
      <c r="X20" t="s">
        <v>2765</v>
      </c>
      <c r="Y20">
        <f t="shared" si="1"/>
        <v>0</v>
      </c>
      <c r="Z20">
        <f t="shared" si="2"/>
        <v>3995.98</v>
      </c>
      <c r="AA20">
        <f t="shared" si="3"/>
        <v>1362.7800000000002</v>
      </c>
      <c r="AB20" s="7">
        <f t="shared" si="4"/>
        <v>0.34103774293164635</v>
      </c>
      <c r="AC20" t="str">
        <f t="shared" si="5"/>
        <v>July</v>
      </c>
      <c r="AD20">
        <f t="shared" si="6"/>
        <v>2025</v>
      </c>
      <c r="AE20" t="str">
        <f t="shared" si="7"/>
        <v>Clean</v>
      </c>
      <c r="AF20" t="str">
        <f t="shared" si="8"/>
        <v>Match</v>
      </c>
      <c r="AG20" t="str">
        <f t="shared" si="9"/>
        <v>Match</v>
      </c>
    </row>
    <row r="21" spans="1:33">
      <c r="A21" t="s">
        <v>139</v>
      </c>
      <c r="B21" s="3">
        <v>45500</v>
      </c>
      <c r="C21" s="3">
        <v>45504</v>
      </c>
      <c r="D21">
        <f t="shared" si="0"/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>
        <v>1</v>
      </c>
      <c r="X21" t="s">
        <v>2765</v>
      </c>
      <c r="Y21">
        <f t="shared" si="1"/>
        <v>-0.19</v>
      </c>
      <c r="Z21">
        <f t="shared" si="2"/>
        <v>13879.9458</v>
      </c>
      <c r="AA21">
        <f t="shared" si="3"/>
        <v>6350.6357999999991</v>
      </c>
      <c r="AB21" s="7">
        <f t="shared" si="4"/>
        <v>0.45754038895454474</v>
      </c>
      <c r="AC21" t="str">
        <f t="shared" si="5"/>
        <v>July</v>
      </c>
      <c r="AD21">
        <f t="shared" si="6"/>
        <v>2024</v>
      </c>
      <c r="AE21" t="str">
        <f t="shared" si="7"/>
        <v>Invalid</v>
      </c>
      <c r="AF21" t="str">
        <f t="shared" si="8"/>
        <v>Mismatch</v>
      </c>
      <c r="AG21" t="str">
        <f t="shared" si="9"/>
        <v>Mismatch</v>
      </c>
    </row>
    <row r="22" spans="1:33">
      <c r="A22" t="s">
        <v>143</v>
      </c>
      <c r="B22" s="3">
        <v>45678</v>
      </c>
      <c r="C22" s="3">
        <v>45680</v>
      </c>
      <c r="D22">
        <f t="shared" si="0"/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>
        <v>1</v>
      </c>
      <c r="X22" t="s">
        <v>2765</v>
      </c>
      <c r="Y22">
        <f t="shared" si="1"/>
        <v>0.25</v>
      </c>
      <c r="Z22">
        <f t="shared" si="2"/>
        <v>16398.975000000002</v>
      </c>
      <c r="AA22">
        <f t="shared" si="3"/>
        <v>6842.4550000000017</v>
      </c>
      <c r="AB22" s="7">
        <f t="shared" si="4"/>
        <v>0.4172489439126531</v>
      </c>
      <c r="AC22" t="str">
        <f t="shared" si="5"/>
        <v>January</v>
      </c>
      <c r="AD22">
        <f t="shared" si="6"/>
        <v>2025</v>
      </c>
      <c r="AE22" t="str">
        <f t="shared" si="7"/>
        <v>Clean</v>
      </c>
      <c r="AF22" t="str">
        <f t="shared" si="8"/>
        <v>Match</v>
      </c>
      <c r="AG22" t="str">
        <f t="shared" si="9"/>
        <v>Match</v>
      </c>
    </row>
    <row r="23" spans="1:33">
      <c r="A23" t="s">
        <v>148</v>
      </c>
      <c r="B23" s="3">
        <v>45681</v>
      </c>
      <c r="C23" s="3">
        <v>45687</v>
      </c>
      <c r="D23">
        <f t="shared" si="0"/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>
        <v>1</v>
      </c>
      <c r="X23" t="s">
        <v>2765</v>
      </c>
      <c r="Y23">
        <f t="shared" si="1"/>
        <v>-0.23</v>
      </c>
      <c r="Z23">
        <f t="shared" si="2"/>
        <v>3432.6348000000003</v>
      </c>
      <c r="AA23">
        <f t="shared" si="3"/>
        <v>1394.9248000000002</v>
      </c>
      <c r="AB23" s="7">
        <f t="shared" si="4"/>
        <v>0.40637145553613807</v>
      </c>
      <c r="AC23" t="str">
        <f t="shared" si="5"/>
        <v>January</v>
      </c>
      <c r="AD23">
        <f t="shared" si="6"/>
        <v>2025</v>
      </c>
      <c r="AE23" t="str">
        <f t="shared" si="7"/>
        <v>Invalid</v>
      </c>
      <c r="AF23" t="str">
        <f t="shared" si="8"/>
        <v>Mismatch</v>
      </c>
      <c r="AG23" t="str">
        <f t="shared" si="9"/>
        <v>Mismatch</v>
      </c>
    </row>
    <row r="24" spans="1:33">
      <c r="A24" t="s">
        <v>151</v>
      </c>
      <c r="B24" s="3">
        <v>45676</v>
      </c>
      <c r="C24" s="3">
        <v>45678</v>
      </c>
      <c r="D24">
        <f t="shared" si="0"/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>
        <v>1</v>
      </c>
      <c r="X24" t="s">
        <v>2765</v>
      </c>
      <c r="Y24">
        <f t="shared" si="1"/>
        <v>0.15</v>
      </c>
      <c r="Z24">
        <f t="shared" si="2"/>
        <v>8291.5119999999988</v>
      </c>
      <c r="AA24">
        <f t="shared" si="3"/>
        <v>1606.4819999999991</v>
      </c>
      <c r="AB24" s="7">
        <f t="shared" si="4"/>
        <v>0.19375018693816029</v>
      </c>
      <c r="AC24" t="str">
        <f t="shared" si="5"/>
        <v>January</v>
      </c>
      <c r="AD24">
        <f t="shared" si="6"/>
        <v>2025</v>
      </c>
      <c r="AE24" t="str">
        <f t="shared" si="7"/>
        <v>Clean</v>
      </c>
      <c r="AF24" t="str">
        <f t="shared" si="8"/>
        <v>Match</v>
      </c>
      <c r="AG24" t="str">
        <f t="shared" si="9"/>
        <v>Match</v>
      </c>
    </row>
    <row r="25" spans="1:33">
      <c r="A25" t="s">
        <v>156</v>
      </c>
      <c r="B25" s="3">
        <v>45898</v>
      </c>
      <c r="C25" s="3">
        <v>45900</v>
      </c>
      <c r="D25">
        <f t="shared" si="0"/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>
        <v>1</v>
      </c>
      <c r="X25" t="s">
        <v>2765</v>
      </c>
      <c r="Y25">
        <f t="shared" si="1"/>
        <v>0.2</v>
      </c>
      <c r="Z25">
        <f t="shared" si="2"/>
        <v>6265.6320000000005</v>
      </c>
      <c r="AA25">
        <f t="shared" si="3"/>
        <v>1943.7720000000008</v>
      </c>
      <c r="AB25" s="7">
        <f t="shared" si="4"/>
        <v>0.31022760353624351</v>
      </c>
      <c r="AC25" t="str">
        <f t="shared" si="5"/>
        <v>August</v>
      </c>
      <c r="AD25">
        <f t="shared" si="6"/>
        <v>2025</v>
      </c>
      <c r="AE25" t="str">
        <f t="shared" si="7"/>
        <v>Clean</v>
      </c>
      <c r="AF25" t="str">
        <f t="shared" si="8"/>
        <v>Match</v>
      </c>
      <c r="AG25" t="str">
        <f t="shared" si="9"/>
        <v>Match</v>
      </c>
    </row>
    <row r="26" spans="1:33">
      <c r="A26" t="s">
        <v>160</v>
      </c>
      <c r="B26" s="3">
        <v>45355</v>
      </c>
      <c r="C26" s="3">
        <v>45352</v>
      </c>
      <c r="D26">
        <f t="shared" si="0"/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>
        <v>1</v>
      </c>
      <c r="X26" t="s">
        <v>2765</v>
      </c>
      <c r="Y26">
        <f t="shared" si="1"/>
        <v>0.25</v>
      </c>
      <c r="Z26">
        <f t="shared" si="2"/>
        <v>13478.82</v>
      </c>
      <c r="AA26">
        <f t="shared" si="3"/>
        <v>2541.4699999999993</v>
      </c>
      <c r="AB26" s="7">
        <f t="shared" si="4"/>
        <v>0.18855285551702591</v>
      </c>
      <c r="AC26" t="str">
        <f t="shared" si="5"/>
        <v>March</v>
      </c>
      <c r="AD26">
        <f t="shared" si="6"/>
        <v>2024</v>
      </c>
      <c r="AE26" t="str">
        <f t="shared" si="7"/>
        <v>Invalid</v>
      </c>
      <c r="AF26" t="str">
        <f t="shared" si="8"/>
        <v>Match</v>
      </c>
      <c r="AG26" t="str">
        <f t="shared" si="9"/>
        <v>Match</v>
      </c>
    </row>
    <row r="27" spans="1:33">
      <c r="A27" t="s">
        <v>164</v>
      </c>
      <c r="B27" s="3">
        <v>45576</v>
      </c>
      <c r="C27" s="3">
        <v>45584</v>
      </c>
      <c r="D27">
        <f t="shared" si="0"/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>
        <v>1</v>
      </c>
      <c r="X27" t="s">
        <v>2765</v>
      </c>
      <c r="Y27">
        <f t="shared" si="1"/>
        <v>0.15</v>
      </c>
      <c r="Z27">
        <f t="shared" si="2"/>
        <v>7335.8399999999992</v>
      </c>
      <c r="AA27">
        <f t="shared" si="3"/>
        <v>2367.4299999999994</v>
      </c>
      <c r="AB27" s="7">
        <f t="shared" si="4"/>
        <v>0.32272105171323251</v>
      </c>
      <c r="AC27" t="str">
        <f t="shared" si="5"/>
        <v>October</v>
      </c>
      <c r="AD27">
        <f t="shared" si="6"/>
        <v>2024</v>
      </c>
      <c r="AE27" t="str">
        <f t="shared" si="7"/>
        <v>Clean</v>
      </c>
      <c r="AF27" t="str">
        <f t="shared" si="8"/>
        <v>Match</v>
      </c>
      <c r="AG27" t="str">
        <f t="shared" si="9"/>
        <v>Match</v>
      </c>
    </row>
    <row r="28" spans="1:33">
      <c r="A28" t="s">
        <v>169</v>
      </c>
      <c r="B28" s="3">
        <v>45619</v>
      </c>
      <c r="C28" s="3">
        <v>45619</v>
      </c>
      <c r="D28">
        <f t="shared" si="0"/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>
        <v>1</v>
      </c>
      <c r="X28" t="s">
        <v>2765</v>
      </c>
      <c r="Y28">
        <f t="shared" si="1"/>
        <v>0.1</v>
      </c>
      <c r="Z28">
        <f t="shared" si="2"/>
        <v>2578.0680000000002</v>
      </c>
      <c r="AA28">
        <f t="shared" si="3"/>
        <v>1050.5180000000003</v>
      </c>
      <c r="AB28" s="7">
        <f t="shared" si="4"/>
        <v>0.40748265755596835</v>
      </c>
      <c r="AC28" t="str">
        <f t="shared" si="5"/>
        <v>November</v>
      </c>
      <c r="AD28">
        <f t="shared" si="6"/>
        <v>2024</v>
      </c>
      <c r="AE28" t="str">
        <f t="shared" si="7"/>
        <v>Clean</v>
      </c>
      <c r="AF28" t="str">
        <f t="shared" si="8"/>
        <v>Match</v>
      </c>
      <c r="AG28" t="str">
        <f t="shared" si="9"/>
        <v>Match</v>
      </c>
    </row>
    <row r="29" spans="1:33">
      <c r="A29" t="s">
        <v>173</v>
      </c>
      <c r="B29" s="3">
        <v>45929</v>
      </c>
      <c r="C29" s="3">
        <v>45935</v>
      </c>
      <c r="D29">
        <f t="shared" si="0"/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>
        <v>1</v>
      </c>
      <c r="X29" t="s">
        <v>2765</v>
      </c>
      <c r="Y29">
        <f t="shared" si="1"/>
        <v>0.25</v>
      </c>
      <c r="Z29">
        <f t="shared" si="2"/>
        <v>6774.4124999999995</v>
      </c>
      <c r="AA29">
        <f t="shared" si="3"/>
        <v>2064.0524999999998</v>
      </c>
      <c r="AB29" s="7">
        <f t="shared" si="4"/>
        <v>0.30468361647596748</v>
      </c>
      <c r="AC29" t="str">
        <f t="shared" si="5"/>
        <v>September</v>
      </c>
      <c r="AD29">
        <f t="shared" si="6"/>
        <v>2025</v>
      </c>
      <c r="AE29" t="str">
        <f t="shared" si="7"/>
        <v>Clean</v>
      </c>
      <c r="AF29" t="str">
        <f t="shared" si="8"/>
        <v>Match</v>
      </c>
      <c r="AG29" t="str">
        <f t="shared" si="9"/>
        <v>Match</v>
      </c>
    </row>
    <row r="30" spans="1:33">
      <c r="A30" t="s">
        <v>178</v>
      </c>
      <c r="B30" s="3">
        <v>45576</v>
      </c>
      <c r="C30" s="3">
        <v>45583</v>
      </c>
      <c r="D30">
        <f t="shared" si="0"/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>
        <v>1</v>
      </c>
      <c r="X30" t="s">
        <v>2765</v>
      </c>
      <c r="Y30">
        <f t="shared" si="1"/>
        <v>0.25</v>
      </c>
      <c r="Z30">
        <f t="shared" si="2"/>
        <v>2913.33</v>
      </c>
      <c r="AA30">
        <f t="shared" si="3"/>
        <v>791</v>
      </c>
      <c r="AB30" s="7">
        <f t="shared" si="4"/>
        <v>0.27151060813570727</v>
      </c>
      <c r="AC30" t="str">
        <f t="shared" si="5"/>
        <v>October</v>
      </c>
      <c r="AD30">
        <f t="shared" si="6"/>
        <v>2024</v>
      </c>
      <c r="AE30" t="str">
        <f t="shared" si="7"/>
        <v>Clean</v>
      </c>
      <c r="AF30" t="str">
        <f t="shared" si="8"/>
        <v>Match</v>
      </c>
      <c r="AG30" t="str">
        <f t="shared" si="9"/>
        <v>Match</v>
      </c>
    </row>
    <row r="31" spans="1:33">
      <c r="A31" t="s">
        <v>183</v>
      </c>
      <c r="B31" s="3">
        <v>45882</v>
      </c>
      <c r="C31" s="3">
        <v>45882</v>
      </c>
      <c r="D31">
        <f t="shared" si="0"/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>
        <v>1</v>
      </c>
      <c r="X31" t="s">
        <v>2765</v>
      </c>
      <c r="Y31">
        <f t="shared" si="1"/>
        <v>0.15</v>
      </c>
      <c r="Z31">
        <f t="shared" si="2"/>
        <v>217.60849999999999</v>
      </c>
      <c r="AA31">
        <f t="shared" si="3"/>
        <v>97.838499999999996</v>
      </c>
      <c r="AB31" s="7">
        <f t="shared" si="4"/>
        <v>0.44960789675035673</v>
      </c>
      <c r="AC31" t="str">
        <f t="shared" si="5"/>
        <v>August</v>
      </c>
      <c r="AD31">
        <f t="shared" si="6"/>
        <v>2025</v>
      </c>
      <c r="AE31" t="str">
        <f t="shared" si="7"/>
        <v>Clean</v>
      </c>
      <c r="AF31" t="str">
        <f t="shared" si="8"/>
        <v>Match</v>
      </c>
      <c r="AG31" t="str">
        <f t="shared" si="9"/>
        <v>Match</v>
      </c>
    </row>
    <row r="32" spans="1:33">
      <c r="A32" t="s">
        <v>188</v>
      </c>
      <c r="B32" s="3">
        <v>45331</v>
      </c>
      <c r="C32" s="3">
        <v>45334</v>
      </c>
      <c r="D32">
        <f t="shared" si="0"/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>
        <v>1</v>
      </c>
      <c r="X32" t="s">
        <v>2765</v>
      </c>
      <c r="Y32">
        <f t="shared" si="1"/>
        <v>0.1</v>
      </c>
      <c r="Z32">
        <f t="shared" si="2"/>
        <v>3079.5929999999998</v>
      </c>
      <c r="AA32">
        <f t="shared" si="3"/>
        <v>1077.7029999999997</v>
      </c>
      <c r="AB32" s="7">
        <f t="shared" si="4"/>
        <v>0.34994981479695525</v>
      </c>
      <c r="AC32" t="str">
        <f t="shared" si="5"/>
        <v>February</v>
      </c>
      <c r="AD32">
        <f t="shared" si="6"/>
        <v>2024</v>
      </c>
      <c r="AE32" t="str">
        <f t="shared" si="7"/>
        <v>Clean</v>
      </c>
      <c r="AF32" t="str">
        <f t="shared" si="8"/>
        <v>Match</v>
      </c>
      <c r="AG32" t="str">
        <f t="shared" si="9"/>
        <v>Match</v>
      </c>
    </row>
    <row r="33" spans="1:33">
      <c r="A33" t="s">
        <v>193</v>
      </c>
      <c r="B33" s="3">
        <v>45823</v>
      </c>
      <c r="C33" s="3">
        <v>45827</v>
      </c>
      <c r="D33">
        <f t="shared" si="0"/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>
        <v>1</v>
      </c>
      <c r="X33" t="s">
        <v>2765</v>
      </c>
      <c r="Y33">
        <f t="shared" si="1"/>
        <v>0</v>
      </c>
      <c r="Z33">
        <f t="shared" si="2"/>
        <v>27832.95</v>
      </c>
      <c r="AA33">
        <f t="shared" si="3"/>
        <v>10063.200000000001</v>
      </c>
      <c r="AB33" s="7">
        <f t="shared" si="4"/>
        <v>0.36155707533696574</v>
      </c>
      <c r="AC33" t="str">
        <f t="shared" si="5"/>
        <v>June</v>
      </c>
      <c r="AD33">
        <f t="shared" si="6"/>
        <v>2025</v>
      </c>
      <c r="AE33" t="str">
        <f t="shared" si="7"/>
        <v>Clean</v>
      </c>
      <c r="AF33" t="str">
        <f t="shared" si="8"/>
        <v>Match</v>
      </c>
      <c r="AG33" t="str">
        <f t="shared" si="9"/>
        <v>Match</v>
      </c>
    </row>
    <row r="34" spans="1:33">
      <c r="A34" t="s">
        <v>196</v>
      </c>
      <c r="B34" s="3">
        <v>45618</v>
      </c>
      <c r="C34" s="3">
        <v>45622</v>
      </c>
      <c r="D34">
        <f t="shared" si="0"/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/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>
        <v>1</v>
      </c>
      <c r="X34" t="s">
        <v>2765</v>
      </c>
      <c r="Y34">
        <f t="shared" si="1"/>
        <v>0</v>
      </c>
      <c r="Z34">
        <f t="shared" si="2"/>
        <v>12003.75</v>
      </c>
      <c r="AA34">
        <f t="shared" si="3"/>
        <v>4473.83</v>
      </c>
      <c r="AB34" s="7">
        <f t="shared" si="4"/>
        <v>0.37270269707383108</v>
      </c>
      <c r="AC34" t="str">
        <f t="shared" si="5"/>
        <v>November</v>
      </c>
      <c r="AD34">
        <f t="shared" si="6"/>
        <v>2024</v>
      </c>
      <c r="AE34" t="str">
        <f t="shared" si="7"/>
        <v>Clean</v>
      </c>
      <c r="AF34" t="str">
        <f t="shared" si="8"/>
        <v>Mismatch</v>
      </c>
      <c r="AG34" t="str">
        <f t="shared" si="9"/>
        <v>Mismatch</v>
      </c>
    </row>
    <row r="35" spans="1:33">
      <c r="A35" t="s">
        <v>199</v>
      </c>
      <c r="B35" s="3">
        <v>45495</v>
      </c>
      <c r="C35" s="3">
        <v>45500</v>
      </c>
      <c r="D35">
        <f t="shared" si="0"/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>
        <v>1</v>
      </c>
      <c r="X35" t="s">
        <v>2765</v>
      </c>
      <c r="Y35">
        <f t="shared" si="1"/>
        <v>0.25</v>
      </c>
      <c r="Z35">
        <f t="shared" si="2"/>
        <v>2585.1525000000001</v>
      </c>
      <c r="AA35">
        <f t="shared" si="3"/>
        <v>514.42250000000013</v>
      </c>
      <c r="AB35" s="7">
        <f t="shared" si="4"/>
        <v>0.19899116203009304</v>
      </c>
      <c r="AC35" t="str">
        <f t="shared" si="5"/>
        <v>July</v>
      </c>
      <c r="AD35">
        <f t="shared" si="6"/>
        <v>2024</v>
      </c>
      <c r="AE35" t="str">
        <f t="shared" si="7"/>
        <v>Clean</v>
      </c>
      <c r="AF35" t="str">
        <f t="shared" si="8"/>
        <v>Match</v>
      </c>
      <c r="AG35" t="str">
        <f t="shared" si="9"/>
        <v>Match</v>
      </c>
    </row>
    <row r="36" spans="1:33">
      <c r="A36" t="s">
        <v>202</v>
      </c>
      <c r="B36" s="3">
        <v>45688</v>
      </c>
      <c r="C36" s="3">
        <v>45693</v>
      </c>
      <c r="D36">
        <f t="shared" si="0"/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2760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>
        <v>1</v>
      </c>
      <c r="X36" t="s">
        <v>2765</v>
      </c>
      <c r="Y36">
        <f t="shared" si="1"/>
        <v>0.2</v>
      </c>
      <c r="Z36">
        <f t="shared" si="2"/>
        <v>6655.5039999999999</v>
      </c>
      <c r="AA36">
        <f t="shared" si="3"/>
        <v>2315.2939999999999</v>
      </c>
      <c r="AB36" s="7">
        <f t="shared" si="4"/>
        <v>0.34787658455317583</v>
      </c>
      <c r="AC36" t="str">
        <f t="shared" si="5"/>
        <v>January</v>
      </c>
      <c r="AD36">
        <f t="shared" si="6"/>
        <v>2025</v>
      </c>
      <c r="AE36" t="str">
        <f t="shared" si="7"/>
        <v>Clean</v>
      </c>
      <c r="AF36" t="str">
        <f t="shared" si="8"/>
        <v>Match</v>
      </c>
      <c r="AG36" t="str">
        <f t="shared" si="9"/>
        <v>Mismatch</v>
      </c>
    </row>
    <row r="37" spans="1:33">
      <c r="A37" t="s">
        <v>205</v>
      </c>
      <c r="B37" s="3">
        <v>45441</v>
      </c>
      <c r="C37" s="3">
        <v>45441</v>
      </c>
      <c r="D37">
        <f t="shared" si="0"/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>
        <v>1</v>
      </c>
      <c r="X37" t="s">
        <v>2765</v>
      </c>
      <c r="Y37">
        <f t="shared" si="1"/>
        <v>0.05</v>
      </c>
      <c r="Z37">
        <f t="shared" si="2"/>
        <v>19054.111999999997</v>
      </c>
      <c r="AA37">
        <f t="shared" si="3"/>
        <v>3740.2819999999974</v>
      </c>
      <c r="AB37" s="7">
        <f t="shared" si="4"/>
        <v>0.19629789097492437</v>
      </c>
      <c r="AC37" t="str">
        <f t="shared" si="5"/>
        <v>May</v>
      </c>
      <c r="AD37">
        <f t="shared" si="6"/>
        <v>2024</v>
      </c>
      <c r="AE37" t="str">
        <f t="shared" si="7"/>
        <v>Clean</v>
      </c>
      <c r="AF37" t="str">
        <f t="shared" si="8"/>
        <v>Match</v>
      </c>
      <c r="AG37" t="str">
        <f t="shared" si="9"/>
        <v>Match</v>
      </c>
    </row>
    <row r="38" spans="1:33">
      <c r="A38" t="s">
        <v>208</v>
      </c>
      <c r="B38" s="3">
        <v>45590</v>
      </c>
      <c r="C38" s="3">
        <v>45593</v>
      </c>
      <c r="D38">
        <f t="shared" si="0"/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>
        <v>1</v>
      </c>
      <c r="X38" t="s">
        <v>2765</v>
      </c>
      <c r="Y38">
        <f t="shared" si="1"/>
        <v>0</v>
      </c>
      <c r="Z38">
        <f t="shared" si="2"/>
        <v>9379.41</v>
      </c>
      <c r="AA38">
        <f t="shared" si="3"/>
        <v>2708.5599999999995</v>
      </c>
      <c r="AB38" s="7">
        <f t="shared" si="4"/>
        <v>0.28877722585962223</v>
      </c>
      <c r="AC38" t="str">
        <f t="shared" si="5"/>
        <v>October</v>
      </c>
      <c r="AD38">
        <f t="shared" si="6"/>
        <v>2024</v>
      </c>
      <c r="AE38" t="str">
        <f t="shared" si="7"/>
        <v>Clean</v>
      </c>
      <c r="AF38" t="str">
        <f t="shared" si="8"/>
        <v>Match</v>
      </c>
      <c r="AG38" t="str">
        <f t="shared" si="9"/>
        <v>Match</v>
      </c>
    </row>
    <row r="39" spans="1:33">
      <c r="A39" t="s">
        <v>211</v>
      </c>
      <c r="B39" s="3">
        <v>45867</v>
      </c>
      <c r="C39" s="3">
        <v>45867</v>
      </c>
      <c r="D39">
        <f t="shared" si="0"/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>
        <v>1</v>
      </c>
      <c r="X39" t="s">
        <v>2765</v>
      </c>
      <c r="Y39">
        <f t="shared" si="1"/>
        <v>0.2</v>
      </c>
      <c r="Z39">
        <f t="shared" si="2"/>
        <v>4248.1279999999997</v>
      </c>
      <c r="AA39">
        <f t="shared" si="3"/>
        <v>927.03799999999956</v>
      </c>
      <c r="AB39" s="7">
        <f t="shared" si="4"/>
        <v>0.21822270892025844</v>
      </c>
      <c r="AC39" t="str">
        <f t="shared" si="5"/>
        <v>July</v>
      </c>
      <c r="AD39">
        <f t="shared" si="6"/>
        <v>2025</v>
      </c>
      <c r="AE39" t="str">
        <f t="shared" si="7"/>
        <v>Clean</v>
      </c>
      <c r="AF39" t="str">
        <f t="shared" si="8"/>
        <v>Match</v>
      </c>
      <c r="AG39" t="str">
        <f t="shared" si="9"/>
        <v>Match</v>
      </c>
    </row>
    <row r="40" spans="1:33">
      <c r="A40" t="s">
        <v>214</v>
      </c>
      <c r="B40" s="3">
        <v>45460</v>
      </c>
      <c r="C40" s="3">
        <v>45465</v>
      </c>
      <c r="D40">
        <f t="shared" si="0"/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>
        <v>1</v>
      </c>
      <c r="X40" t="s">
        <v>2765</v>
      </c>
      <c r="Y40">
        <f t="shared" si="1"/>
        <v>0.1</v>
      </c>
      <c r="Z40">
        <f t="shared" si="2"/>
        <v>13927.284</v>
      </c>
      <c r="AA40">
        <f t="shared" si="3"/>
        <v>3422.4139999999989</v>
      </c>
      <c r="AB40" s="7">
        <f t="shared" si="4"/>
        <v>0.24573448778670692</v>
      </c>
      <c r="AC40" t="str">
        <f t="shared" si="5"/>
        <v>June</v>
      </c>
      <c r="AD40">
        <f t="shared" si="6"/>
        <v>2024</v>
      </c>
      <c r="AE40" t="str">
        <f t="shared" si="7"/>
        <v>Clean</v>
      </c>
      <c r="AF40" t="str">
        <f t="shared" si="8"/>
        <v>Match</v>
      </c>
      <c r="AG40" t="str">
        <f t="shared" si="9"/>
        <v>Match</v>
      </c>
    </row>
    <row r="41" spans="1:33">
      <c r="A41" t="s">
        <v>217</v>
      </c>
      <c r="B41" s="3">
        <v>45637</v>
      </c>
      <c r="C41" s="3">
        <v>45637</v>
      </c>
      <c r="D41">
        <f t="shared" si="0"/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>
        <v>1</v>
      </c>
      <c r="X41" t="s">
        <v>2765</v>
      </c>
      <c r="Y41">
        <f t="shared" si="1"/>
        <v>0.1</v>
      </c>
      <c r="Z41">
        <f t="shared" si="2"/>
        <v>4935.3120000000008</v>
      </c>
      <c r="AA41">
        <f t="shared" si="3"/>
        <v>1560.5420000000008</v>
      </c>
      <c r="AB41" s="7">
        <f t="shared" si="4"/>
        <v>0.31619925954022776</v>
      </c>
      <c r="AC41" t="str">
        <f t="shared" si="5"/>
        <v>December</v>
      </c>
      <c r="AD41">
        <f t="shared" si="6"/>
        <v>2024</v>
      </c>
      <c r="AE41" t="str">
        <f t="shared" si="7"/>
        <v>Clean</v>
      </c>
      <c r="AF41" t="str">
        <f t="shared" si="8"/>
        <v>Match</v>
      </c>
      <c r="AG41" t="str">
        <f t="shared" si="9"/>
        <v>Match</v>
      </c>
    </row>
    <row r="42" spans="1:33">
      <c r="A42" t="s">
        <v>220</v>
      </c>
      <c r="B42" s="3">
        <v>45575</v>
      </c>
      <c r="C42" s="3">
        <v>45581</v>
      </c>
      <c r="D42">
        <f t="shared" si="0"/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>
        <v>1</v>
      </c>
      <c r="X42" t="s">
        <v>2765</v>
      </c>
      <c r="Y42">
        <f t="shared" si="1"/>
        <v>0.2</v>
      </c>
      <c r="Z42">
        <f t="shared" si="2"/>
        <v>14051.912</v>
      </c>
      <c r="AA42">
        <f t="shared" si="3"/>
        <v>2061.5419999999995</v>
      </c>
      <c r="AB42" s="7">
        <f t="shared" si="4"/>
        <v>0.14670900301681361</v>
      </c>
      <c r="AC42" t="str">
        <f t="shared" si="5"/>
        <v>October</v>
      </c>
      <c r="AD42">
        <f t="shared" si="6"/>
        <v>2024</v>
      </c>
      <c r="AE42" t="str">
        <f t="shared" si="7"/>
        <v>Clean</v>
      </c>
      <c r="AF42" t="str">
        <f t="shared" si="8"/>
        <v>Match</v>
      </c>
      <c r="AG42" t="str">
        <f t="shared" si="9"/>
        <v>Match</v>
      </c>
    </row>
    <row r="43" spans="1:33">
      <c r="A43" t="s">
        <v>223</v>
      </c>
      <c r="B43" s="3">
        <v>45363</v>
      </c>
      <c r="C43" s="3">
        <v>45368</v>
      </c>
      <c r="D43">
        <f t="shared" si="0"/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>
        <v>1</v>
      </c>
      <c r="X43" t="s">
        <v>2765</v>
      </c>
      <c r="Y43">
        <f t="shared" si="1"/>
        <v>0</v>
      </c>
      <c r="Z43">
        <f t="shared" si="2"/>
        <v>6846.48</v>
      </c>
      <c r="AA43">
        <f t="shared" si="3"/>
        <v>2606.5899999999992</v>
      </c>
      <c r="AB43" s="7">
        <f t="shared" si="4"/>
        <v>0.38071972750961069</v>
      </c>
      <c r="AC43" t="str">
        <f t="shared" si="5"/>
        <v>March</v>
      </c>
      <c r="AD43">
        <f t="shared" si="6"/>
        <v>2024</v>
      </c>
      <c r="AE43" t="str">
        <f t="shared" si="7"/>
        <v>Clean</v>
      </c>
      <c r="AF43" t="str">
        <f t="shared" si="8"/>
        <v>Match</v>
      </c>
      <c r="AG43" t="str">
        <f t="shared" si="9"/>
        <v>Match</v>
      </c>
    </row>
    <row r="44" spans="1:33">
      <c r="A44" t="s">
        <v>226</v>
      </c>
      <c r="B44" s="3">
        <v>45940</v>
      </c>
      <c r="C44" s="3">
        <v>45945</v>
      </c>
      <c r="D44">
        <f t="shared" si="0"/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>
        <v>1</v>
      </c>
      <c r="X44" t="s">
        <v>2765</v>
      </c>
      <c r="Y44">
        <f t="shared" si="1"/>
        <v>0.05</v>
      </c>
      <c r="Z44">
        <f t="shared" si="2"/>
        <v>7447.0119999999997</v>
      </c>
      <c r="AA44">
        <f t="shared" si="3"/>
        <v>2950.7919999999995</v>
      </c>
      <c r="AB44" s="7">
        <f t="shared" si="4"/>
        <v>0.39623838393170302</v>
      </c>
      <c r="AC44" t="str">
        <f t="shared" si="5"/>
        <v>October</v>
      </c>
      <c r="AD44">
        <f t="shared" si="6"/>
        <v>2025</v>
      </c>
      <c r="AE44" t="str">
        <f t="shared" si="7"/>
        <v>Clean</v>
      </c>
      <c r="AF44" t="str">
        <f t="shared" si="8"/>
        <v>Match</v>
      </c>
      <c r="AG44" t="str">
        <f t="shared" si="9"/>
        <v>Match</v>
      </c>
    </row>
    <row r="45" spans="1:33">
      <c r="A45" t="s">
        <v>231</v>
      </c>
      <c r="B45" s="3">
        <v>45481</v>
      </c>
      <c r="C45" s="3">
        <v>45487</v>
      </c>
      <c r="D45">
        <f t="shared" si="0"/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>
        <v>1</v>
      </c>
      <c r="X45" t="s">
        <v>2765</v>
      </c>
      <c r="Y45">
        <f t="shared" si="1"/>
        <v>0</v>
      </c>
      <c r="Z45">
        <f t="shared" si="2"/>
        <v>3030.69</v>
      </c>
      <c r="AA45">
        <f t="shared" si="3"/>
        <v>1309.6100000000001</v>
      </c>
      <c r="AB45" s="7">
        <f t="shared" si="4"/>
        <v>0.43211611877163292</v>
      </c>
      <c r="AC45" t="str">
        <f t="shared" si="5"/>
        <v>July</v>
      </c>
      <c r="AD45">
        <f t="shared" si="6"/>
        <v>2024</v>
      </c>
      <c r="AE45" t="str">
        <f t="shared" si="7"/>
        <v>Clean</v>
      </c>
      <c r="AF45" t="str">
        <f t="shared" si="8"/>
        <v>Match</v>
      </c>
      <c r="AG45" t="str">
        <f t="shared" si="9"/>
        <v>Match</v>
      </c>
    </row>
    <row r="46" spans="1:33">
      <c r="A46" t="s">
        <v>234</v>
      </c>
      <c r="B46" s="3">
        <v>45465</v>
      </c>
      <c r="C46" s="3">
        <v>45468</v>
      </c>
      <c r="D46">
        <f t="shared" si="0"/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>
        <v>1</v>
      </c>
      <c r="X46" t="s">
        <v>2765</v>
      </c>
      <c r="Y46">
        <f t="shared" si="1"/>
        <v>0.1</v>
      </c>
      <c r="Z46">
        <f t="shared" si="2"/>
        <v>26971.137000000002</v>
      </c>
      <c r="AA46">
        <f t="shared" si="3"/>
        <v>9594.9370000000017</v>
      </c>
      <c r="AB46" s="7">
        <f t="shared" si="4"/>
        <v>0.35574833200394929</v>
      </c>
      <c r="AC46" t="str">
        <f t="shared" si="5"/>
        <v>June</v>
      </c>
      <c r="AD46">
        <f t="shared" si="6"/>
        <v>2024</v>
      </c>
      <c r="AE46" t="str">
        <f t="shared" si="7"/>
        <v>Clean</v>
      </c>
      <c r="AF46" t="str">
        <f t="shared" si="8"/>
        <v>Match</v>
      </c>
      <c r="AG46" t="str">
        <f t="shared" si="9"/>
        <v>Match</v>
      </c>
    </row>
    <row r="47" spans="1:33">
      <c r="A47" t="s">
        <v>239</v>
      </c>
      <c r="B47" s="3">
        <v>45309</v>
      </c>
      <c r="C47" s="3">
        <v>45315</v>
      </c>
      <c r="D47">
        <f t="shared" si="0"/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>
        <v>1</v>
      </c>
      <c r="X47" t="s">
        <v>2765</v>
      </c>
      <c r="Y47">
        <f t="shared" si="1"/>
        <v>0.05</v>
      </c>
      <c r="Z47">
        <f t="shared" si="2"/>
        <v>29851.432000000001</v>
      </c>
      <c r="AA47">
        <f t="shared" si="3"/>
        <v>12363.952000000001</v>
      </c>
      <c r="AB47" s="7">
        <f t="shared" si="4"/>
        <v>0.41418287739094062</v>
      </c>
      <c r="AC47" t="str">
        <f t="shared" si="5"/>
        <v>January</v>
      </c>
      <c r="AD47">
        <f t="shared" si="6"/>
        <v>2024</v>
      </c>
      <c r="AE47" t="str">
        <f t="shared" si="7"/>
        <v>Clean</v>
      </c>
      <c r="AF47" t="str">
        <f t="shared" si="8"/>
        <v>Match</v>
      </c>
      <c r="AG47" t="str">
        <f t="shared" si="9"/>
        <v>Match</v>
      </c>
    </row>
    <row r="48" spans="1:33">
      <c r="A48" t="s">
        <v>242</v>
      </c>
      <c r="B48" s="3">
        <v>45492</v>
      </c>
      <c r="C48" s="3">
        <v>45492</v>
      </c>
      <c r="D48">
        <f t="shared" si="0"/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>
        <v>1</v>
      </c>
      <c r="X48" t="s">
        <v>2765</v>
      </c>
      <c r="Y48">
        <f t="shared" si="1"/>
        <v>0.25</v>
      </c>
      <c r="Z48">
        <f t="shared" si="2"/>
        <v>16110.8325</v>
      </c>
      <c r="AA48">
        <f t="shared" si="3"/>
        <v>5430.8024999999998</v>
      </c>
      <c r="AB48" s="7">
        <f t="shared" si="4"/>
        <v>0.33709012243780695</v>
      </c>
      <c r="AC48" t="str">
        <f t="shared" si="5"/>
        <v>July</v>
      </c>
      <c r="AD48">
        <f t="shared" si="6"/>
        <v>2024</v>
      </c>
      <c r="AE48" t="str">
        <f t="shared" si="7"/>
        <v>Clean</v>
      </c>
      <c r="AF48" t="str">
        <f t="shared" si="8"/>
        <v>Match</v>
      </c>
      <c r="AG48" t="str">
        <f t="shared" si="9"/>
        <v>Match</v>
      </c>
    </row>
    <row r="49" spans="1:33">
      <c r="A49" t="s">
        <v>245</v>
      </c>
      <c r="B49" s="3">
        <v>45516</v>
      </c>
      <c r="C49" s="3">
        <v>45516</v>
      </c>
      <c r="D49">
        <f t="shared" si="0"/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>
        <v>1</v>
      </c>
      <c r="X49" t="s">
        <v>2765</v>
      </c>
      <c r="Y49">
        <f t="shared" si="1"/>
        <v>0.1</v>
      </c>
      <c r="Z49">
        <f t="shared" si="2"/>
        <v>17606.232</v>
      </c>
      <c r="AA49">
        <f t="shared" si="3"/>
        <v>5167.2720000000008</v>
      </c>
      <c r="AB49" s="7">
        <f t="shared" si="4"/>
        <v>0.29349107747756592</v>
      </c>
      <c r="AC49" t="str">
        <f t="shared" si="5"/>
        <v>August</v>
      </c>
      <c r="AD49">
        <f t="shared" si="6"/>
        <v>2024</v>
      </c>
      <c r="AE49" t="str">
        <f t="shared" si="7"/>
        <v>Clean</v>
      </c>
      <c r="AF49" t="str">
        <f t="shared" si="8"/>
        <v>Match</v>
      </c>
      <c r="AG49" t="str">
        <f t="shared" si="9"/>
        <v>Match</v>
      </c>
    </row>
    <row r="50" spans="1:33">
      <c r="A50" t="s">
        <v>250</v>
      </c>
      <c r="B50" s="3">
        <v>45687</v>
      </c>
      <c r="C50" s="3">
        <v>45693</v>
      </c>
      <c r="D50">
        <f t="shared" si="0"/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>
        <v>1</v>
      </c>
      <c r="X50" t="s">
        <v>2765</v>
      </c>
      <c r="Y50">
        <f t="shared" si="1"/>
        <v>0</v>
      </c>
      <c r="Z50">
        <f t="shared" si="2"/>
        <v>28445.62</v>
      </c>
      <c r="AA50">
        <f t="shared" si="3"/>
        <v>7507.0299999999988</v>
      </c>
      <c r="AB50" s="7">
        <f t="shared" si="4"/>
        <v>0.26390811660986818</v>
      </c>
      <c r="AC50" t="str">
        <f t="shared" si="5"/>
        <v>January</v>
      </c>
      <c r="AD50">
        <f t="shared" si="6"/>
        <v>2025</v>
      </c>
      <c r="AE50" t="str">
        <f t="shared" si="7"/>
        <v>Clean</v>
      </c>
      <c r="AF50" t="str">
        <f t="shared" si="8"/>
        <v>Match</v>
      </c>
      <c r="AG50" t="str">
        <f t="shared" si="9"/>
        <v>Match</v>
      </c>
    </row>
    <row r="51" spans="1:33">
      <c r="A51" t="s">
        <v>253</v>
      </c>
      <c r="B51" s="3">
        <v>45388</v>
      </c>
      <c r="C51" s="3">
        <v>45395</v>
      </c>
      <c r="D51">
        <f t="shared" si="0"/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>
        <v>1</v>
      </c>
      <c r="X51" t="s">
        <v>2765</v>
      </c>
      <c r="Y51">
        <f t="shared" si="1"/>
        <v>0.05</v>
      </c>
      <c r="Z51">
        <f t="shared" si="2"/>
        <v>6772.5404999999992</v>
      </c>
      <c r="AA51">
        <f t="shared" si="3"/>
        <v>1017.0804999999991</v>
      </c>
      <c r="AB51" s="7">
        <f t="shared" si="4"/>
        <v>0.15017710119267641</v>
      </c>
      <c r="AC51" t="str">
        <f t="shared" si="5"/>
        <v>April</v>
      </c>
      <c r="AD51">
        <f t="shared" si="6"/>
        <v>2024</v>
      </c>
      <c r="AE51" t="str">
        <f t="shared" si="7"/>
        <v>Clean</v>
      </c>
      <c r="AF51" t="str">
        <f t="shared" si="8"/>
        <v>Match</v>
      </c>
      <c r="AG51" t="str">
        <f t="shared" si="9"/>
        <v>Match</v>
      </c>
    </row>
    <row r="52" spans="1:33">
      <c r="A52" t="s">
        <v>256</v>
      </c>
      <c r="B52" s="3">
        <v>45788</v>
      </c>
      <c r="C52" s="3">
        <v>45796</v>
      </c>
      <c r="D52">
        <f t="shared" si="0"/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>
        <v>1</v>
      </c>
      <c r="X52" t="s">
        <v>2765</v>
      </c>
      <c r="Y52">
        <f t="shared" si="1"/>
        <v>0.15</v>
      </c>
      <c r="Z52">
        <f t="shared" si="2"/>
        <v>2025.38</v>
      </c>
      <c r="AA52">
        <f t="shared" si="3"/>
        <v>884.73</v>
      </c>
      <c r="AB52" s="7">
        <f t="shared" si="4"/>
        <v>0.43682173221815163</v>
      </c>
      <c r="AC52" t="str">
        <f t="shared" si="5"/>
        <v>May</v>
      </c>
      <c r="AD52">
        <f t="shared" si="6"/>
        <v>2025</v>
      </c>
      <c r="AE52" t="str">
        <f t="shared" si="7"/>
        <v>Clean</v>
      </c>
      <c r="AF52" t="str">
        <f t="shared" si="8"/>
        <v>Match</v>
      </c>
      <c r="AG52" t="str">
        <f t="shared" si="9"/>
        <v>Match</v>
      </c>
    </row>
    <row r="53" spans="1:33">
      <c r="A53" t="s">
        <v>259</v>
      </c>
      <c r="B53" s="3">
        <v>45406</v>
      </c>
      <c r="C53" s="3">
        <v>45411</v>
      </c>
      <c r="D53">
        <f t="shared" si="0"/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>
        <v>1</v>
      </c>
      <c r="X53" t="s">
        <v>2765</v>
      </c>
      <c r="Y53">
        <f t="shared" si="1"/>
        <v>0</v>
      </c>
      <c r="Z53">
        <f t="shared" si="2"/>
        <v>9168.48</v>
      </c>
      <c r="AA53">
        <f t="shared" si="3"/>
        <v>1728.7099999999991</v>
      </c>
      <c r="AB53" s="7">
        <f t="shared" si="4"/>
        <v>0.18854924698532355</v>
      </c>
      <c r="AC53" t="str">
        <f t="shared" si="5"/>
        <v>April</v>
      </c>
      <c r="AD53">
        <f t="shared" si="6"/>
        <v>2024</v>
      </c>
      <c r="AE53" t="str">
        <f t="shared" si="7"/>
        <v>Clean</v>
      </c>
      <c r="AF53" t="str">
        <f t="shared" si="8"/>
        <v>Match</v>
      </c>
      <c r="AG53" t="str">
        <f t="shared" si="9"/>
        <v>Match</v>
      </c>
    </row>
    <row r="54" spans="1:33">
      <c r="A54" t="s">
        <v>262</v>
      </c>
      <c r="B54" s="3">
        <v>45591</v>
      </c>
      <c r="C54" s="3">
        <v>45593</v>
      </c>
      <c r="D54">
        <f t="shared" si="0"/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>
        <v>1</v>
      </c>
      <c r="X54" t="s">
        <v>2765</v>
      </c>
      <c r="Y54">
        <f t="shared" si="1"/>
        <v>0</v>
      </c>
      <c r="Z54">
        <f t="shared" si="2"/>
        <v>12596.670000000002</v>
      </c>
      <c r="AA54">
        <f t="shared" si="3"/>
        <v>1993.380000000001</v>
      </c>
      <c r="AB54" s="7">
        <f t="shared" si="4"/>
        <v>0.15824658421630483</v>
      </c>
      <c r="AC54" t="str">
        <f t="shared" si="5"/>
        <v>October</v>
      </c>
      <c r="AD54">
        <f t="shared" si="6"/>
        <v>2024</v>
      </c>
      <c r="AE54" t="str">
        <f t="shared" si="7"/>
        <v>Clean</v>
      </c>
      <c r="AF54" t="str">
        <f t="shared" si="8"/>
        <v>Match</v>
      </c>
      <c r="AG54" t="str">
        <f t="shared" si="9"/>
        <v>Match</v>
      </c>
    </row>
    <row r="55" spans="1:33">
      <c r="A55" t="s">
        <v>266</v>
      </c>
      <c r="B55" s="3">
        <v>45747</v>
      </c>
      <c r="C55" s="3">
        <v>45747</v>
      </c>
      <c r="D55">
        <f t="shared" si="0"/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>
        <v>1</v>
      </c>
      <c r="X55" t="s">
        <v>2765</v>
      </c>
      <c r="Y55">
        <f t="shared" si="1"/>
        <v>0.15</v>
      </c>
      <c r="Z55">
        <f t="shared" si="2"/>
        <v>5131.7475000000004</v>
      </c>
      <c r="AA55">
        <f t="shared" si="3"/>
        <v>2293.0675000000006</v>
      </c>
      <c r="AB55" s="7">
        <f t="shared" si="4"/>
        <v>0.44683950252813498</v>
      </c>
      <c r="AC55" t="str">
        <f t="shared" si="5"/>
        <v>March</v>
      </c>
      <c r="AD55">
        <f t="shared" si="6"/>
        <v>2025</v>
      </c>
      <c r="AE55" t="str">
        <f t="shared" si="7"/>
        <v>Clean</v>
      </c>
      <c r="AF55" t="str">
        <f t="shared" si="8"/>
        <v>Match</v>
      </c>
      <c r="AG55" t="str">
        <f t="shared" si="9"/>
        <v>Match</v>
      </c>
    </row>
    <row r="56" spans="1:33">
      <c r="A56" t="s">
        <v>269</v>
      </c>
      <c r="B56" s="3">
        <v>45807</v>
      </c>
      <c r="C56" s="3">
        <v>45810</v>
      </c>
      <c r="D56">
        <f t="shared" si="0"/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>
        <v>1</v>
      </c>
      <c r="X56" t="s">
        <v>2765</v>
      </c>
      <c r="Y56">
        <f t="shared" si="1"/>
        <v>0.1</v>
      </c>
      <c r="Z56">
        <f t="shared" si="2"/>
        <v>3415.4639999999999</v>
      </c>
      <c r="AA56">
        <f t="shared" si="3"/>
        <v>1422.2339999999999</v>
      </c>
      <c r="AB56" s="7">
        <f t="shared" si="4"/>
        <v>0.4164101861416194</v>
      </c>
      <c r="AC56" t="str">
        <f t="shared" si="5"/>
        <v>May</v>
      </c>
      <c r="AD56">
        <f t="shared" si="6"/>
        <v>2025</v>
      </c>
      <c r="AE56" t="str">
        <f t="shared" si="7"/>
        <v>Clean</v>
      </c>
      <c r="AF56" t="str">
        <f t="shared" si="8"/>
        <v>Match</v>
      </c>
      <c r="AG56" t="str">
        <f t="shared" si="9"/>
        <v>Match</v>
      </c>
    </row>
    <row r="57" spans="1:33">
      <c r="A57" t="s">
        <v>272</v>
      </c>
      <c r="B57" s="3">
        <v>45839</v>
      </c>
      <c r="C57" s="3">
        <v>45841</v>
      </c>
      <c r="D57">
        <f t="shared" si="0"/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>
        <v>1</v>
      </c>
      <c r="X57" t="s">
        <v>2765</v>
      </c>
      <c r="Y57">
        <f t="shared" si="1"/>
        <v>0.25</v>
      </c>
      <c r="Z57">
        <f t="shared" si="2"/>
        <v>3411.54</v>
      </c>
      <c r="AA57">
        <f t="shared" si="3"/>
        <v>608.40999999999985</v>
      </c>
      <c r="AB57" s="7">
        <f t="shared" si="4"/>
        <v>0.17833881472883209</v>
      </c>
      <c r="AC57" t="str">
        <f t="shared" si="5"/>
        <v>July</v>
      </c>
      <c r="AD57">
        <f t="shared" si="6"/>
        <v>2025</v>
      </c>
      <c r="AE57" t="str">
        <f t="shared" si="7"/>
        <v>Clean</v>
      </c>
      <c r="AF57" t="str">
        <f t="shared" si="8"/>
        <v>Match</v>
      </c>
      <c r="AG57" t="str">
        <f t="shared" si="9"/>
        <v>Match</v>
      </c>
    </row>
    <row r="58" spans="1:33">
      <c r="A58" t="s">
        <v>276</v>
      </c>
      <c r="B58" s="3">
        <v>45662</v>
      </c>
      <c r="C58" s="3">
        <v>45663</v>
      </c>
      <c r="D58">
        <f t="shared" si="0"/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>
        <v>1</v>
      </c>
      <c r="X58" t="s">
        <v>2765</v>
      </c>
      <c r="Y58">
        <f t="shared" si="1"/>
        <v>0</v>
      </c>
      <c r="Z58">
        <f t="shared" si="2"/>
        <v>9466.83</v>
      </c>
      <c r="AA58">
        <f t="shared" si="3"/>
        <v>2909</v>
      </c>
      <c r="AB58" s="7">
        <f t="shared" si="4"/>
        <v>0.30728343067320318</v>
      </c>
      <c r="AC58" t="str">
        <f t="shared" si="5"/>
        <v>January</v>
      </c>
      <c r="AD58">
        <f t="shared" si="6"/>
        <v>2025</v>
      </c>
      <c r="AE58" t="str">
        <f t="shared" si="7"/>
        <v>Clean</v>
      </c>
      <c r="AF58" t="str">
        <f t="shared" si="8"/>
        <v>Match</v>
      </c>
      <c r="AG58" t="str">
        <f t="shared" si="9"/>
        <v>Match</v>
      </c>
    </row>
    <row r="59" spans="1:33">
      <c r="A59" t="s">
        <v>279</v>
      </c>
      <c r="B59" s="3">
        <v>45329</v>
      </c>
      <c r="C59" s="3">
        <v>45337</v>
      </c>
      <c r="D59">
        <f t="shared" si="0"/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>
        <v>1</v>
      </c>
      <c r="X59" t="s">
        <v>2765</v>
      </c>
      <c r="Y59">
        <f t="shared" si="1"/>
        <v>0</v>
      </c>
      <c r="Z59">
        <f t="shared" si="2"/>
        <v>1279.3499999999999</v>
      </c>
      <c r="AA59">
        <f t="shared" si="3"/>
        <v>187.80999999999995</v>
      </c>
      <c r="AB59" s="7">
        <f t="shared" si="4"/>
        <v>0.14680110993864068</v>
      </c>
      <c r="AC59" t="str">
        <f t="shared" si="5"/>
        <v>February</v>
      </c>
      <c r="AD59">
        <f t="shared" si="6"/>
        <v>2024</v>
      </c>
      <c r="AE59" t="str">
        <f t="shared" si="7"/>
        <v>Clean</v>
      </c>
      <c r="AF59" t="str">
        <f t="shared" si="8"/>
        <v>Match</v>
      </c>
      <c r="AG59" t="str">
        <f t="shared" si="9"/>
        <v>Match</v>
      </c>
    </row>
    <row r="60" spans="1:33">
      <c r="A60" t="s">
        <v>282</v>
      </c>
      <c r="B60" s="3">
        <v>45536</v>
      </c>
      <c r="C60" s="3">
        <v>45542</v>
      </c>
      <c r="D60">
        <f t="shared" si="0"/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2760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>
        <v>1</v>
      </c>
      <c r="X60" t="s">
        <v>2765</v>
      </c>
      <c r="Y60">
        <f t="shared" si="1"/>
        <v>0.1</v>
      </c>
      <c r="Z60">
        <f t="shared" si="2"/>
        <v>11254.788</v>
      </c>
      <c r="AA60">
        <f t="shared" si="3"/>
        <v>4676.7280000000001</v>
      </c>
      <c r="AB60" s="7">
        <f t="shared" si="4"/>
        <v>0.41553230500654476</v>
      </c>
      <c r="AC60" t="str">
        <f t="shared" si="5"/>
        <v>September</v>
      </c>
      <c r="AD60">
        <f t="shared" si="6"/>
        <v>2024</v>
      </c>
      <c r="AE60" t="str">
        <f t="shared" si="7"/>
        <v>Clean</v>
      </c>
      <c r="AF60" t="str">
        <f t="shared" si="8"/>
        <v>Match</v>
      </c>
      <c r="AG60" t="str">
        <f t="shared" si="9"/>
        <v>Match</v>
      </c>
    </row>
    <row r="61" spans="1:33">
      <c r="A61" t="s">
        <v>285</v>
      </c>
      <c r="B61" s="3">
        <v>45493</v>
      </c>
      <c r="C61" s="3">
        <v>45498</v>
      </c>
      <c r="D61">
        <f t="shared" si="0"/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>
        <v>1</v>
      </c>
      <c r="X61" t="s">
        <v>2765</v>
      </c>
      <c r="Y61">
        <f t="shared" si="1"/>
        <v>0.2</v>
      </c>
      <c r="Z61">
        <f t="shared" si="2"/>
        <v>16535.400000000001</v>
      </c>
      <c r="AA61">
        <f t="shared" si="3"/>
        <v>3545.1900000000023</v>
      </c>
      <c r="AB61" s="7">
        <f t="shared" si="4"/>
        <v>0.21440001451431487</v>
      </c>
      <c r="AC61" t="str">
        <f t="shared" si="5"/>
        <v>July</v>
      </c>
      <c r="AD61">
        <f t="shared" si="6"/>
        <v>2024</v>
      </c>
      <c r="AE61" t="str">
        <f t="shared" si="7"/>
        <v>Clean</v>
      </c>
      <c r="AF61" t="str">
        <f t="shared" si="8"/>
        <v>Match</v>
      </c>
      <c r="AG61" t="str">
        <f t="shared" si="9"/>
        <v>Match</v>
      </c>
    </row>
    <row r="62" spans="1:33">
      <c r="A62" t="s">
        <v>288</v>
      </c>
      <c r="B62" s="3">
        <v>45486</v>
      </c>
      <c r="C62" s="3">
        <v>45492</v>
      </c>
      <c r="D62">
        <f t="shared" si="0"/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>
        <v>1</v>
      </c>
      <c r="X62" t="s">
        <v>2765</v>
      </c>
      <c r="Y62">
        <f t="shared" si="1"/>
        <v>0.2</v>
      </c>
      <c r="Z62">
        <f t="shared" si="2"/>
        <v>661.82400000000007</v>
      </c>
      <c r="AA62">
        <f t="shared" si="3"/>
        <v>180.35400000000004</v>
      </c>
      <c r="AB62" s="7">
        <f t="shared" si="4"/>
        <v>0.27251051639106472</v>
      </c>
      <c r="AC62" t="str">
        <f t="shared" si="5"/>
        <v>July</v>
      </c>
      <c r="AD62">
        <f t="shared" si="6"/>
        <v>2024</v>
      </c>
      <c r="AE62" t="str">
        <f t="shared" si="7"/>
        <v>Clean</v>
      </c>
      <c r="AF62" t="str">
        <f t="shared" si="8"/>
        <v>Match</v>
      </c>
      <c r="AG62" t="str">
        <f t="shared" si="9"/>
        <v>Match</v>
      </c>
    </row>
    <row r="63" spans="1:33">
      <c r="A63" t="s">
        <v>291</v>
      </c>
      <c r="B63" s="3">
        <v>45398</v>
      </c>
      <c r="C63" s="3">
        <v>45398</v>
      </c>
      <c r="D63">
        <f t="shared" si="0"/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>
        <v>1</v>
      </c>
      <c r="X63" t="s">
        <v>2765</v>
      </c>
      <c r="Y63">
        <f t="shared" si="1"/>
        <v>0</v>
      </c>
      <c r="Z63">
        <f t="shared" si="2"/>
        <v>949.59</v>
      </c>
      <c r="AA63">
        <f t="shared" si="3"/>
        <v>198.34000000000003</v>
      </c>
      <c r="AB63" s="7">
        <f t="shared" si="4"/>
        <v>0.20886909087079689</v>
      </c>
      <c r="AC63" t="str">
        <f t="shared" si="5"/>
        <v>April</v>
      </c>
      <c r="AD63">
        <f t="shared" si="6"/>
        <v>2024</v>
      </c>
      <c r="AE63" t="str">
        <f t="shared" si="7"/>
        <v>Clean</v>
      </c>
      <c r="AF63" t="str">
        <f t="shared" si="8"/>
        <v>Match</v>
      </c>
      <c r="AG63" t="str">
        <f t="shared" si="9"/>
        <v>Match</v>
      </c>
    </row>
    <row r="64" spans="1:33">
      <c r="A64" t="s">
        <v>294</v>
      </c>
      <c r="B64" s="3">
        <v>45595</v>
      </c>
      <c r="C64" s="3">
        <v>45598</v>
      </c>
      <c r="D64">
        <f t="shared" si="0"/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>
        <v>1</v>
      </c>
      <c r="X64" t="s">
        <v>2765</v>
      </c>
      <c r="Y64">
        <f t="shared" si="1"/>
        <v>0.2</v>
      </c>
      <c r="Z64">
        <f t="shared" si="2"/>
        <v>21904.488000000001</v>
      </c>
      <c r="AA64">
        <f t="shared" si="3"/>
        <v>8333.9380000000019</v>
      </c>
      <c r="AB64" s="7">
        <f t="shared" si="4"/>
        <v>0.38046714445003244</v>
      </c>
      <c r="AC64" t="str">
        <f t="shared" si="5"/>
        <v>October</v>
      </c>
      <c r="AD64">
        <f t="shared" si="6"/>
        <v>2024</v>
      </c>
      <c r="AE64" t="str">
        <f t="shared" si="7"/>
        <v>Clean</v>
      </c>
      <c r="AF64" t="str">
        <f t="shared" si="8"/>
        <v>Match</v>
      </c>
      <c r="AG64" t="str">
        <f t="shared" si="9"/>
        <v>Match</v>
      </c>
    </row>
    <row r="65" spans="1:33">
      <c r="A65" t="s">
        <v>297</v>
      </c>
      <c r="B65" s="3">
        <v>45316</v>
      </c>
      <c r="C65" s="3">
        <v>45323</v>
      </c>
      <c r="D65">
        <f t="shared" si="0"/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>
        <v>1</v>
      </c>
      <c r="X65" t="s">
        <v>2765</v>
      </c>
      <c r="Y65">
        <f t="shared" si="1"/>
        <v>0.15</v>
      </c>
      <c r="Z65">
        <f t="shared" si="2"/>
        <v>4815.7089999999998</v>
      </c>
      <c r="AA65">
        <f t="shared" si="3"/>
        <v>1787.9589999999998</v>
      </c>
      <c r="AB65" s="7">
        <f t="shared" si="4"/>
        <v>0.37127637903369992</v>
      </c>
      <c r="AC65" t="str">
        <f t="shared" si="5"/>
        <v>January</v>
      </c>
      <c r="AD65">
        <f t="shared" si="6"/>
        <v>2024</v>
      </c>
      <c r="AE65" t="str">
        <f t="shared" si="7"/>
        <v>Clean</v>
      </c>
      <c r="AF65" t="str">
        <f t="shared" si="8"/>
        <v>Match</v>
      </c>
      <c r="AG65" t="str">
        <f t="shared" si="9"/>
        <v>Mismatch</v>
      </c>
    </row>
    <row r="66" spans="1:33">
      <c r="A66" t="s">
        <v>300</v>
      </c>
      <c r="B66" s="3">
        <v>45649</v>
      </c>
      <c r="C66" s="3">
        <v>45655</v>
      </c>
      <c r="D66">
        <f t="shared" ref="D66:D129" si="10">C66-B66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>
        <v>1</v>
      </c>
      <c r="X66" t="s">
        <v>2765</v>
      </c>
      <c r="Y66">
        <f t="shared" si="1"/>
        <v>0</v>
      </c>
      <c r="Z66">
        <f t="shared" si="2"/>
        <v>3134.8799999999997</v>
      </c>
      <c r="AA66">
        <f t="shared" si="3"/>
        <v>767.24999999999955</v>
      </c>
      <c r="AB66" s="7">
        <f t="shared" si="4"/>
        <v>0.24474621038125849</v>
      </c>
      <c r="AC66" t="str">
        <f t="shared" si="5"/>
        <v>December</v>
      </c>
      <c r="AD66">
        <f t="shared" si="6"/>
        <v>2024</v>
      </c>
      <c r="AE66" t="str">
        <f t="shared" si="7"/>
        <v>Clean</v>
      </c>
      <c r="AF66" t="str">
        <f t="shared" si="8"/>
        <v>Match</v>
      </c>
      <c r="AG66" t="str">
        <f t="shared" si="9"/>
        <v>Match</v>
      </c>
    </row>
    <row r="67" spans="1:33">
      <c r="A67" t="s">
        <v>303</v>
      </c>
      <c r="B67" s="3">
        <v>45404</v>
      </c>
      <c r="C67" s="3">
        <v>45409</v>
      </c>
      <c r="D67">
        <f t="shared" si="10"/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>
        <v>1</v>
      </c>
      <c r="X67" t="s">
        <v>2765</v>
      </c>
      <c r="Y67">
        <f t="shared" ref="Y67:Y130" si="11">IF(
Q67="",
0,
IF(Q67&gt;1,
Q67/100,
Q67)
)</f>
        <v>0.05</v>
      </c>
      <c r="Z67">
        <f t="shared" ref="Z67:Z130" si="12">O67*P67*(1-Y67)</f>
        <v>4066.1804999999995</v>
      </c>
      <c r="AA67">
        <f t="shared" ref="AA67:AA130" si="13">Z67-S67</f>
        <v>1437.2604999999994</v>
      </c>
      <c r="AB67" s="7">
        <f t="shared" ref="AB67:AB130" si="14">IF(Z67=0,0,
AA67/Z67)</f>
        <v>0.35346696980126674</v>
      </c>
      <c r="AC67" t="str">
        <f t="shared" ref="AC67:AC130" si="15">TEXT(B67,"mmmm")</f>
        <v>April</v>
      </c>
      <c r="AD67">
        <f t="shared" ref="AD67:AD130" si="16">YEAR(B67)</f>
        <v>2024</v>
      </c>
      <c r="AE67" t="str">
        <f t="shared" ref="AE67:AE130" si="17">IF(
OR(
Y67&lt;0,
D67&lt;0
),
"Invalid",
IF(
X67="Review Required",
"Warning",
"Clean"
)
)</f>
        <v>Clean</v>
      </c>
      <c r="AF67" t="str">
        <f t="shared" ref="AF67:AF130" si="18">IF(ABS(R67-Z67)&gt;0.01,
"Mismatch",
"Match")</f>
        <v>Match</v>
      </c>
      <c r="AG67" t="str">
        <f t="shared" ref="AG67:AG130" si="19">IF(ABS(T67-AA67)&gt;0.01,
"Mismatch",
"Match")</f>
        <v>Match</v>
      </c>
    </row>
    <row r="68" spans="1:33">
      <c r="A68" t="s">
        <v>306</v>
      </c>
      <c r="B68" s="3">
        <v>45897</v>
      </c>
      <c r="C68" s="3">
        <v>45901</v>
      </c>
      <c r="D68">
        <f t="shared" si="10"/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>
        <v>1</v>
      </c>
      <c r="X68" t="s">
        <v>2765</v>
      </c>
      <c r="Y68">
        <f t="shared" si="11"/>
        <v>0.05</v>
      </c>
      <c r="Z68">
        <f t="shared" si="12"/>
        <v>7032.1089999999995</v>
      </c>
      <c r="AA68">
        <f t="shared" si="13"/>
        <v>2421.7689999999993</v>
      </c>
      <c r="AB68" s="7">
        <f t="shared" si="14"/>
        <v>0.34438729547565311</v>
      </c>
      <c r="AC68" t="str">
        <f t="shared" si="15"/>
        <v>August</v>
      </c>
      <c r="AD68">
        <f t="shared" si="16"/>
        <v>2025</v>
      </c>
      <c r="AE68" t="str">
        <f t="shared" si="17"/>
        <v>Clean</v>
      </c>
      <c r="AF68" t="str">
        <f t="shared" si="18"/>
        <v>Match</v>
      </c>
      <c r="AG68" t="str">
        <f t="shared" si="19"/>
        <v>Match</v>
      </c>
    </row>
    <row r="69" spans="1:33">
      <c r="A69" t="s">
        <v>309</v>
      </c>
      <c r="B69" s="3">
        <v>45691</v>
      </c>
      <c r="C69" s="3">
        <v>45695</v>
      </c>
      <c r="D69">
        <f t="shared" si="10"/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>
        <v>1</v>
      </c>
      <c r="X69" t="s">
        <v>2765</v>
      </c>
      <c r="Y69">
        <f t="shared" si="11"/>
        <v>0.05</v>
      </c>
      <c r="Z69">
        <f t="shared" si="12"/>
        <v>24002.111000000001</v>
      </c>
      <c r="AA69">
        <f t="shared" si="13"/>
        <v>5294.5410000000011</v>
      </c>
      <c r="AB69" s="7">
        <f t="shared" si="14"/>
        <v>0.2205864725815159</v>
      </c>
      <c r="AC69" t="str">
        <f t="shared" si="15"/>
        <v>February</v>
      </c>
      <c r="AD69">
        <f t="shared" si="16"/>
        <v>2025</v>
      </c>
      <c r="AE69" t="str">
        <f t="shared" si="17"/>
        <v>Clean</v>
      </c>
      <c r="AF69" t="str">
        <f t="shared" si="18"/>
        <v>Match</v>
      </c>
      <c r="AG69" t="str">
        <f t="shared" si="19"/>
        <v>Match</v>
      </c>
    </row>
    <row r="70" spans="1:33">
      <c r="A70" t="s">
        <v>312</v>
      </c>
      <c r="B70" s="3">
        <v>45606</v>
      </c>
      <c r="C70" s="3">
        <v>45609</v>
      </c>
      <c r="D70">
        <f t="shared" si="10"/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>
        <v>1</v>
      </c>
      <c r="X70" t="s">
        <v>2765</v>
      </c>
      <c r="Y70">
        <f t="shared" si="11"/>
        <v>0</v>
      </c>
      <c r="Z70">
        <f t="shared" si="12"/>
        <v>19900.079999999998</v>
      </c>
      <c r="AA70">
        <f t="shared" si="13"/>
        <v>8937.4199999999983</v>
      </c>
      <c r="AB70" s="7">
        <f t="shared" si="14"/>
        <v>0.44911477742803041</v>
      </c>
      <c r="AC70" t="str">
        <f t="shared" si="15"/>
        <v>November</v>
      </c>
      <c r="AD70">
        <f t="shared" si="16"/>
        <v>2024</v>
      </c>
      <c r="AE70" t="str">
        <f t="shared" si="17"/>
        <v>Clean</v>
      </c>
      <c r="AF70" t="str">
        <f t="shared" si="18"/>
        <v>Match</v>
      </c>
      <c r="AG70" t="str">
        <f t="shared" si="19"/>
        <v>Match</v>
      </c>
    </row>
    <row r="71" spans="1:33">
      <c r="A71" t="s">
        <v>315</v>
      </c>
      <c r="B71" s="3">
        <v>45391</v>
      </c>
      <c r="C71" s="3">
        <v>45396</v>
      </c>
      <c r="D71">
        <f t="shared" si="10"/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>
        <v>1</v>
      </c>
      <c r="X71" t="s">
        <v>2765</v>
      </c>
      <c r="Y71">
        <f t="shared" si="11"/>
        <v>0.1</v>
      </c>
      <c r="Z71">
        <f t="shared" si="12"/>
        <v>21527.667000000001</v>
      </c>
      <c r="AA71">
        <f t="shared" si="13"/>
        <v>3240.0869999999995</v>
      </c>
      <c r="AB71" s="7">
        <f t="shared" si="14"/>
        <v>0.15050804158202555</v>
      </c>
      <c r="AC71" t="str">
        <f t="shared" si="15"/>
        <v>April</v>
      </c>
      <c r="AD71">
        <f t="shared" si="16"/>
        <v>2024</v>
      </c>
      <c r="AE71" t="str">
        <f t="shared" si="17"/>
        <v>Clean</v>
      </c>
      <c r="AF71" t="str">
        <f t="shared" si="18"/>
        <v>Match</v>
      </c>
      <c r="AG71" t="str">
        <f t="shared" si="19"/>
        <v>Match</v>
      </c>
    </row>
    <row r="72" spans="1:33">
      <c r="A72" t="s">
        <v>318</v>
      </c>
      <c r="B72" s="3">
        <v>45891</v>
      </c>
      <c r="C72" s="3">
        <v>45896</v>
      </c>
      <c r="D72">
        <f t="shared" si="10"/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>
        <v>1</v>
      </c>
      <c r="X72" t="s">
        <v>2765</v>
      </c>
      <c r="Y72">
        <f t="shared" si="11"/>
        <v>0.15</v>
      </c>
      <c r="Z72">
        <f t="shared" si="12"/>
        <v>1539.979</v>
      </c>
      <c r="AA72">
        <f t="shared" si="13"/>
        <v>469.779</v>
      </c>
      <c r="AB72" s="7">
        <f t="shared" si="14"/>
        <v>0.30505545854846072</v>
      </c>
      <c r="AC72" t="str">
        <f t="shared" si="15"/>
        <v>August</v>
      </c>
      <c r="AD72">
        <f t="shared" si="16"/>
        <v>2025</v>
      </c>
      <c r="AE72" t="str">
        <f t="shared" si="17"/>
        <v>Clean</v>
      </c>
      <c r="AF72" t="str">
        <f t="shared" si="18"/>
        <v>Match</v>
      </c>
      <c r="AG72" t="str">
        <f t="shared" si="19"/>
        <v>Match</v>
      </c>
    </row>
    <row r="73" spans="1:33">
      <c r="A73" t="s">
        <v>321</v>
      </c>
      <c r="B73" s="3">
        <v>45763</v>
      </c>
      <c r="C73" s="3">
        <v>45770</v>
      </c>
      <c r="D73">
        <f t="shared" si="10"/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>
        <v>1</v>
      </c>
      <c r="X73" t="s">
        <v>2765</v>
      </c>
      <c r="Y73">
        <f t="shared" si="11"/>
        <v>0.1</v>
      </c>
      <c r="Z73">
        <f t="shared" si="12"/>
        <v>10947.528</v>
      </c>
      <c r="AA73">
        <f t="shared" si="13"/>
        <v>4500.1680000000006</v>
      </c>
      <c r="AB73" s="7">
        <f t="shared" si="14"/>
        <v>0.41106704636882413</v>
      </c>
      <c r="AC73" t="str">
        <f t="shared" si="15"/>
        <v>April</v>
      </c>
      <c r="AD73">
        <f t="shared" si="16"/>
        <v>2025</v>
      </c>
      <c r="AE73" t="str">
        <f t="shared" si="17"/>
        <v>Clean</v>
      </c>
      <c r="AF73" t="str">
        <f t="shared" si="18"/>
        <v>Match</v>
      </c>
      <c r="AG73" t="str">
        <f t="shared" si="19"/>
        <v>Match</v>
      </c>
    </row>
    <row r="74" spans="1:33">
      <c r="A74" t="s">
        <v>324</v>
      </c>
      <c r="B74" s="3">
        <v>45333</v>
      </c>
      <c r="C74" s="3">
        <v>45329</v>
      </c>
      <c r="D74">
        <f t="shared" si="10"/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>
        <v>1</v>
      </c>
      <c r="X74" t="s">
        <v>2765</v>
      </c>
      <c r="Y74">
        <f t="shared" si="11"/>
        <v>0.15</v>
      </c>
      <c r="Z74">
        <f t="shared" si="12"/>
        <v>13610.446499999998</v>
      </c>
      <c r="AA74">
        <f t="shared" si="13"/>
        <v>3571.3964999999989</v>
      </c>
      <c r="AB74" s="7">
        <f t="shared" si="14"/>
        <v>0.26240112695788487</v>
      </c>
      <c r="AC74" t="str">
        <f t="shared" si="15"/>
        <v>February</v>
      </c>
      <c r="AD74">
        <f t="shared" si="16"/>
        <v>2024</v>
      </c>
      <c r="AE74" t="str">
        <f t="shared" si="17"/>
        <v>Invalid</v>
      </c>
      <c r="AF74" t="str">
        <f t="shared" si="18"/>
        <v>Match</v>
      </c>
      <c r="AG74" t="str">
        <f t="shared" si="19"/>
        <v>Match</v>
      </c>
    </row>
    <row r="75" spans="1:33">
      <c r="A75" t="s">
        <v>327</v>
      </c>
      <c r="B75" s="3">
        <v>45745</v>
      </c>
      <c r="C75" s="3">
        <v>45750</v>
      </c>
      <c r="D75">
        <f t="shared" si="10"/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>
        <v>1</v>
      </c>
      <c r="X75" t="s">
        <v>2765</v>
      </c>
      <c r="Y75">
        <f t="shared" si="11"/>
        <v>0</v>
      </c>
      <c r="Z75">
        <f t="shared" si="12"/>
        <v>7128.7</v>
      </c>
      <c r="AA75">
        <f t="shared" si="13"/>
        <v>2746.55</v>
      </c>
      <c r="AB75" s="7">
        <f t="shared" si="14"/>
        <v>0.38528062620113068</v>
      </c>
      <c r="AC75" t="str">
        <f t="shared" si="15"/>
        <v>March</v>
      </c>
      <c r="AD75">
        <f t="shared" si="16"/>
        <v>2025</v>
      </c>
      <c r="AE75" t="str">
        <f t="shared" si="17"/>
        <v>Clean</v>
      </c>
      <c r="AF75" t="str">
        <f t="shared" si="18"/>
        <v>Match</v>
      </c>
      <c r="AG75" t="str">
        <f t="shared" si="19"/>
        <v>Match</v>
      </c>
    </row>
    <row r="76" spans="1:33">
      <c r="A76" t="s">
        <v>330</v>
      </c>
      <c r="B76" s="3">
        <v>45715</v>
      </c>
      <c r="C76" s="3">
        <v>45717</v>
      </c>
      <c r="D76">
        <f t="shared" si="10"/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>
        <v>1</v>
      </c>
      <c r="X76" t="s">
        <v>2765</v>
      </c>
      <c r="Y76">
        <f t="shared" si="11"/>
        <v>0</v>
      </c>
      <c r="Z76">
        <f t="shared" si="12"/>
        <v>3309.84</v>
      </c>
      <c r="AA76">
        <f t="shared" si="13"/>
        <v>638.76000000000022</v>
      </c>
      <c r="AB76" s="7">
        <f t="shared" si="14"/>
        <v>0.19298818069755644</v>
      </c>
      <c r="AC76" t="str">
        <f t="shared" si="15"/>
        <v>February</v>
      </c>
      <c r="AD76">
        <f t="shared" si="16"/>
        <v>2025</v>
      </c>
      <c r="AE76" t="str">
        <f t="shared" si="17"/>
        <v>Clean</v>
      </c>
      <c r="AF76" t="str">
        <f t="shared" si="18"/>
        <v>Match</v>
      </c>
      <c r="AG76" t="str">
        <f t="shared" si="19"/>
        <v>Match</v>
      </c>
    </row>
    <row r="77" spans="1:33">
      <c r="A77" t="s">
        <v>333</v>
      </c>
      <c r="B77" s="3">
        <v>45891</v>
      </c>
      <c r="C77" s="3">
        <v>45896</v>
      </c>
      <c r="D77">
        <f t="shared" si="10"/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>
        <v>1</v>
      </c>
      <c r="X77" t="s">
        <v>2765</v>
      </c>
      <c r="Y77">
        <f t="shared" si="11"/>
        <v>0.2</v>
      </c>
      <c r="Z77">
        <f t="shared" si="12"/>
        <v>7907.5680000000011</v>
      </c>
      <c r="AA77">
        <f t="shared" si="13"/>
        <v>2516.3880000000008</v>
      </c>
      <c r="AB77" s="7">
        <f t="shared" si="14"/>
        <v>0.31822527482533197</v>
      </c>
      <c r="AC77" t="str">
        <f t="shared" si="15"/>
        <v>August</v>
      </c>
      <c r="AD77">
        <f t="shared" si="16"/>
        <v>2025</v>
      </c>
      <c r="AE77" t="str">
        <f t="shared" si="17"/>
        <v>Clean</v>
      </c>
      <c r="AF77" t="str">
        <f t="shared" si="18"/>
        <v>Match</v>
      </c>
      <c r="AG77" t="str">
        <f t="shared" si="19"/>
        <v>Match</v>
      </c>
    </row>
    <row r="78" spans="1:33">
      <c r="A78" t="s">
        <v>336</v>
      </c>
      <c r="B78" s="3">
        <v>45599</v>
      </c>
      <c r="C78" s="3">
        <v>45607</v>
      </c>
      <c r="D78">
        <f t="shared" si="10"/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>
        <v>1</v>
      </c>
      <c r="X78" t="s">
        <v>2765</v>
      </c>
      <c r="Y78">
        <f t="shared" si="11"/>
        <v>0</v>
      </c>
      <c r="Z78">
        <f t="shared" si="12"/>
        <v>10218.81</v>
      </c>
      <c r="AA78">
        <f t="shared" si="13"/>
        <v>2601.8399999999992</v>
      </c>
      <c r="AB78" s="7">
        <f t="shared" si="14"/>
        <v>0.2546128169522674</v>
      </c>
      <c r="AC78" t="str">
        <f t="shared" si="15"/>
        <v>November</v>
      </c>
      <c r="AD78">
        <f t="shared" si="16"/>
        <v>2024</v>
      </c>
      <c r="AE78" t="str">
        <f t="shared" si="17"/>
        <v>Clean</v>
      </c>
      <c r="AF78" t="str">
        <f t="shared" si="18"/>
        <v>Match</v>
      </c>
      <c r="AG78" t="str">
        <f t="shared" si="19"/>
        <v>Match</v>
      </c>
    </row>
    <row r="79" spans="1:33">
      <c r="A79" t="s">
        <v>339</v>
      </c>
      <c r="B79" s="3">
        <v>45846</v>
      </c>
      <c r="C79" s="3">
        <v>45850</v>
      </c>
      <c r="D79">
        <f t="shared" si="10"/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>
        <v>1</v>
      </c>
      <c r="X79" t="s">
        <v>2765</v>
      </c>
      <c r="Y79">
        <f t="shared" si="11"/>
        <v>0.15</v>
      </c>
      <c r="Z79">
        <f t="shared" si="12"/>
        <v>2194.87</v>
      </c>
      <c r="AA79">
        <f t="shared" si="13"/>
        <v>971.69999999999982</v>
      </c>
      <c r="AB79" s="7">
        <f t="shared" si="14"/>
        <v>0.44271414707932583</v>
      </c>
      <c r="AC79" t="str">
        <f t="shared" si="15"/>
        <v>July</v>
      </c>
      <c r="AD79">
        <f t="shared" si="16"/>
        <v>2025</v>
      </c>
      <c r="AE79" t="str">
        <f t="shared" si="17"/>
        <v>Clean</v>
      </c>
      <c r="AF79" t="str">
        <f t="shared" si="18"/>
        <v>Match</v>
      </c>
      <c r="AG79" t="str">
        <f t="shared" si="19"/>
        <v>Match</v>
      </c>
    </row>
    <row r="80" spans="1:33">
      <c r="A80" t="s">
        <v>342</v>
      </c>
      <c r="B80" s="3">
        <v>45854</v>
      </c>
      <c r="C80" s="3">
        <v>45859</v>
      </c>
      <c r="D80">
        <f t="shared" si="10"/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>
        <v>1</v>
      </c>
      <c r="X80" t="s">
        <v>2765</v>
      </c>
      <c r="Y80">
        <f t="shared" si="11"/>
        <v>0.15</v>
      </c>
      <c r="Z80">
        <f t="shared" si="12"/>
        <v>9050.4175000000014</v>
      </c>
      <c r="AA80">
        <f t="shared" si="13"/>
        <v>2271.567500000001</v>
      </c>
      <c r="AB80" s="7">
        <f t="shared" si="14"/>
        <v>0.25099035486484472</v>
      </c>
      <c r="AC80" t="str">
        <f t="shared" si="15"/>
        <v>July</v>
      </c>
      <c r="AD80">
        <f t="shared" si="16"/>
        <v>2025</v>
      </c>
      <c r="AE80" t="str">
        <f t="shared" si="17"/>
        <v>Clean</v>
      </c>
      <c r="AF80" t="str">
        <f t="shared" si="18"/>
        <v>Match</v>
      </c>
      <c r="AG80" t="str">
        <f t="shared" si="19"/>
        <v>Match</v>
      </c>
    </row>
    <row r="81" spans="1:33">
      <c r="A81" t="s">
        <v>345</v>
      </c>
      <c r="B81" s="3">
        <v>45927</v>
      </c>
      <c r="C81" s="3">
        <v>45933</v>
      </c>
      <c r="D81">
        <f t="shared" si="10"/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>
        <v>1</v>
      </c>
      <c r="X81" t="s">
        <v>2765</v>
      </c>
      <c r="Y81">
        <f t="shared" si="11"/>
        <v>0.1</v>
      </c>
      <c r="Z81">
        <f t="shared" si="12"/>
        <v>33465.312000000005</v>
      </c>
      <c r="AA81">
        <f t="shared" si="13"/>
        <v>8684.052000000007</v>
      </c>
      <c r="AB81" s="7">
        <f t="shared" si="14"/>
        <v>0.25949412932411942</v>
      </c>
      <c r="AC81" t="str">
        <f t="shared" si="15"/>
        <v>September</v>
      </c>
      <c r="AD81">
        <f t="shared" si="16"/>
        <v>2025</v>
      </c>
      <c r="AE81" t="str">
        <f t="shared" si="17"/>
        <v>Clean</v>
      </c>
      <c r="AF81" t="str">
        <f t="shared" si="18"/>
        <v>Match</v>
      </c>
      <c r="AG81" t="str">
        <f t="shared" si="19"/>
        <v>Match</v>
      </c>
    </row>
    <row r="82" spans="1:33">
      <c r="A82" t="s">
        <v>348</v>
      </c>
      <c r="B82" s="3">
        <v>45514</v>
      </c>
      <c r="C82" s="3">
        <v>45518</v>
      </c>
      <c r="D82">
        <f t="shared" si="10"/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>
        <v>1</v>
      </c>
      <c r="X82" t="s">
        <v>2765</v>
      </c>
      <c r="Y82">
        <f t="shared" si="11"/>
        <v>0.1</v>
      </c>
      <c r="Z82">
        <f t="shared" si="12"/>
        <v>4256.3519999999999</v>
      </c>
      <c r="AA82">
        <f t="shared" si="13"/>
        <v>1761.0219999999999</v>
      </c>
      <c r="AB82" s="7">
        <f t="shared" si="14"/>
        <v>0.41373974708858663</v>
      </c>
      <c r="AC82" t="str">
        <f t="shared" si="15"/>
        <v>August</v>
      </c>
      <c r="AD82">
        <f t="shared" si="16"/>
        <v>2024</v>
      </c>
      <c r="AE82" t="str">
        <f t="shared" si="17"/>
        <v>Clean</v>
      </c>
      <c r="AF82" t="str">
        <f t="shared" si="18"/>
        <v>Match</v>
      </c>
      <c r="AG82" t="str">
        <f t="shared" si="19"/>
        <v>Match</v>
      </c>
    </row>
    <row r="83" spans="1:33">
      <c r="A83" t="s">
        <v>353</v>
      </c>
      <c r="B83" s="3">
        <v>45732</v>
      </c>
      <c r="C83" s="3">
        <v>45733</v>
      </c>
      <c r="D83">
        <f t="shared" si="10"/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>
        <v>1</v>
      </c>
      <c r="X83" t="s">
        <v>2765</v>
      </c>
      <c r="Y83">
        <f t="shared" si="11"/>
        <v>0</v>
      </c>
      <c r="Z83">
        <f t="shared" si="12"/>
        <v>5525.7300000000005</v>
      </c>
      <c r="AA83">
        <f t="shared" si="13"/>
        <v>2432.3100000000004</v>
      </c>
      <c r="AB83" s="7">
        <f t="shared" si="14"/>
        <v>0.44017894468242208</v>
      </c>
      <c r="AC83" t="str">
        <f t="shared" si="15"/>
        <v>March</v>
      </c>
      <c r="AD83">
        <f t="shared" si="16"/>
        <v>2025</v>
      </c>
      <c r="AE83" t="str">
        <f t="shared" si="17"/>
        <v>Clean</v>
      </c>
      <c r="AF83" t="str">
        <f t="shared" si="18"/>
        <v>Match</v>
      </c>
      <c r="AG83" t="str">
        <f t="shared" si="19"/>
        <v>Match</v>
      </c>
    </row>
    <row r="84" spans="1:33">
      <c r="A84" t="s">
        <v>356</v>
      </c>
      <c r="B84" s="3">
        <v>45507</v>
      </c>
      <c r="C84" s="3">
        <v>45508</v>
      </c>
      <c r="D84">
        <f t="shared" si="10"/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>
        <v>1</v>
      </c>
      <c r="X84" t="s">
        <v>2765</v>
      </c>
      <c r="Y84">
        <f t="shared" si="11"/>
        <v>0</v>
      </c>
      <c r="Z84">
        <f t="shared" si="12"/>
        <v>6010.38</v>
      </c>
      <c r="AA84">
        <f t="shared" si="13"/>
        <v>2247.5300000000002</v>
      </c>
      <c r="AB84" s="7">
        <f t="shared" si="14"/>
        <v>0.37394141468592673</v>
      </c>
      <c r="AC84" t="str">
        <f t="shared" si="15"/>
        <v>August</v>
      </c>
      <c r="AD84">
        <f t="shared" si="16"/>
        <v>2024</v>
      </c>
      <c r="AE84" t="str">
        <f t="shared" si="17"/>
        <v>Clean</v>
      </c>
      <c r="AF84" t="str">
        <f t="shared" si="18"/>
        <v>Match</v>
      </c>
      <c r="AG84" t="str">
        <f t="shared" si="19"/>
        <v>Match</v>
      </c>
    </row>
    <row r="85" spans="1:33">
      <c r="A85" t="s">
        <v>359</v>
      </c>
      <c r="B85" s="3">
        <v>45591</v>
      </c>
      <c r="C85" s="3">
        <v>45594</v>
      </c>
      <c r="D85">
        <f t="shared" si="10"/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>
        <v>1</v>
      </c>
      <c r="X85" t="s">
        <v>2765</v>
      </c>
      <c r="Y85">
        <f t="shared" si="11"/>
        <v>0.2</v>
      </c>
      <c r="Z85">
        <f t="shared" si="12"/>
        <v>948.52800000000013</v>
      </c>
      <c r="AA85">
        <f t="shared" si="13"/>
        <v>273.90800000000013</v>
      </c>
      <c r="AB85" s="7">
        <f t="shared" si="14"/>
        <v>0.28877165460587362</v>
      </c>
      <c r="AC85" t="str">
        <f t="shared" si="15"/>
        <v>October</v>
      </c>
      <c r="AD85">
        <f t="shared" si="16"/>
        <v>2024</v>
      </c>
      <c r="AE85" t="str">
        <f t="shared" si="17"/>
        <v>Clean</v>
      </c>
      <c r="AF85" t="str">
        <f t="shared" si="18"/>
        <v>Match</v>
      </c>
      <c r="AG85" t="str">
        <f t="shared" si="19"/>
        <v>Match</v>
      </c>
    </row>
    <row r="86" spans="1:33">
      <c r="A86" t="s">
        <v>362</v>
      </c>
      <c r="B86" s="3">
        <v>45566</v>
      </c>
      <c r="C86" s="3">
        <v>45568</v>
      </c>
      <c r="D86">
        <f t="shared" si="10"/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>
        <v>1</v>
      </c>
      <c r="X86" t="s">
        <v>2765</v>
      </c>
      <c r="Y86">
        <f t="shared" si="11"/>
        <v>0.2</v>
      </c>
      <c r="Z86">
        <f t="shared" si="12"/>
        <v>2737.3440000000001</v>
      </c>
      <c r="AA86">
        <f t="shared" si="13"/>
        <v>651.904</v>
      </c>
      <c r="AB86" s="7">
        <f t="shared" si="14"/>
        <v>0.23815201889130486</v>
      </c>
      <c r="AC86" t="str">
        <f t="shared" si="15"/>
        <v>October</v>
      </c>
      <c r="AD86">
        <f t="shared" si="16"/>
        <v>2024</v>
      </c>
      <c r="AE86" t="str">
        <f t="shared" si="17"/>
        <v>Clean</v>
      </c>
      <c r="AF86" t="str">
        <f t="shared" si="18"/>
        <v>Match</v>
      </c>
      <c r="AG86" t="str">
        <f t="shared" si="19"/>
        <v>Match</v>
      </c>
    </row>
    <row r="87" spans="1:33">
      <c r="A87" t="s">
        <v>365</v>
      </c>
      <c r="B87" s="3">
        <v>45503</v>
      </c>
      <c r="C87" s="3">
        <v>45509</v>
      </c>
      <c r="D87">
        <f t="shared" si="10"/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>
        <v>1</v>
      </c>
      <c r="X87" t="s">
        <v>2765</v>
      </c>
      <c r="Y87">
        <f t="shared" si="11"/>
        <v>0</v>
      </c>
      <c r="Z87">
        <f t="shared" si="12"/>
        <v>608.64</v>
      </c>
      <c r="AA87">
        <f t="shared" si="13"/>
        <v>264.64999999999998</v>
      </c>
      <c r="AB87" s="7">
        <f t="shared" si="14"/>
        <v>0.43482189800210302</v>
      </c>
      <c r="AC87" t="str">
        <f t="shared" si="15"/>
        <v>July</v>
      </c>
      <c r="AD87">
        <f t="shared" si="16"/>
        <v>2024</v>
      </c>
      <c r="AE87" t="str">
        <f t="shared" si="17"/>
        <v>Clean</v>
      </c>
      <c r="AF87" t="str">
        <f t="shared" si="18"/>
        <v>Match</v>
      </c>
      <c r="AG87" t="str">
        <f t="shared" si="19"/>
        <v>Match</v>
      </c>
    </row>
    <row r="88" spans="1:33">
      <c r="A88" t="s">
        <v>368</v>
      </c>
      <c r="B88" s="3">
        <v>45474</v>
      </c>
      <c r="C88" s="3">
        <v>45474</v>
      </c>
      <c r="D88">
        <f t="shared" si="10"/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>
        <v>1</v>
      </c>
      <c r="X88" t="s">
        <v>2765</v>
      </c>
      <c r="Y88">
        <f t="shared" si="11"/>
        <v>0.1</v>
      </c>
      <c r="Z88">
        <f t="shared" si="12"/>
        <v>2390.2560000000003</v>
      </c>
      <c r="AA88">
        <f t="shared" si="13"/>
        <v>894.31600000000026</v>
      </c>
      <c r="AB88" s="7">
        <f t="shared" si="14"/>
        <v>0.37415071858411825</v>
      </c>
      <c r="AC88" t="str">
        <f t="shared" si="15"/>
        <v>July</v>
      </c>
      <c r="AD88">
        <f t="shared" si="16"/>
        <v>2024</v>
      </c>
      <c r="AE88" t="str">
        <f t="shared" si="17"/>
        <v>Clean</v>
      </c>
      <c r="AF88" t="str">
        <f t="shared" si="18"/>
        <v>Match</v>
      </c>
      <c r="AG88" t="str">
        <f t="shared" si="19"/>
        <v>Match</v>
      </c>
    </row>
    <row r="89" spans="1:33">
      <c r="A89" t="s">
        <v>371</v>
      </c>
      <c r="B89" s="3">
        <v>45506</v>
      </c>
      <c r="C89" s="3">
        <v>45507</v>
      </c>
      <c r="D89">
        <f t="shared" si="10"/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>
        <v>1</v>
      </c>
      <c r="X89" t="s">
        <v>2765</v>
      </c>
      <c r="Y89">
        <f t="shared" si="11"/>
        <v>0</v>
      </c>
      <c r="Z89">
        <f t="shared" si="12"/>
        <v>23416.539999999997</v>
      </c>
      <c r="AA89">
        <f t="shared" si="13"/>
        <v>7925.6499999999978</v>
      </c>
      <c r="AB89" s="7">
        <f t="shared" si="14"/>
        <v>0.33846375254414185</v>
      </c>
      <c r="AC89" t="str">
        <f t="shared" si="15"/>
        <v>August</v>
      </c>
      <c r="AD89">
        <f t="shared" si="16"/>
        <v>2024</v>
      </c>
      <c r="AE89" t="str">
        <f t="shared" si="17"/>
        <v>Clean</v>
      </c>
      <c r="AF89" t="str">
        <f t="shared" si="18"/>
        <v>Match</v>
      </c>
      <c r="AG89" t="str">
        <f t="shared" si="19"/>
        <v>Match</v>
      </c>
    </row>
    <row r="90" spans="1:33">
      <c r="A90" t="s">
        <v>374</v>
      </c>
      <c r="B90" s="3">
        <v>45375</v>
      </c>
      <c r="C90" s="3">
        <v>45378</v>
      </c>
      <c r="D90">
        <f t="shared" si="10"/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>
        <v>1</v>
      </c>
      <c r="X90" t="s">
        <v>2765</v>
      </c>
      <c r="Y90">
        <f t="shared" si="11"/>
        <v>0.05</v>
      </c>
      <c r="Z90">
        <f t="shared" si="12"/>
        <v>6241.0249999999996</v>
      </c>
      <c r="AA90">
        <f t="shared" si="13"/>
        <v>895.14499999999953</v>
      </c>
      <c r="AB90" s="7">
        <f t="shared" si="14"/>
        <v>0.14342916427990587</v>
      </c>
      <c r="AC90" t="str">
        <f t="shared" si="15"/>
        <v>March</v>
      </c>
      <c r="AD90">
        <f t="shared" si="16"/>
        <v>2024</v>
      </c>
      <c r="AE90" t="str">
        <f t="shared" si="17"/>
        <v>Clean</v>
      </c>
      <c r="AF90" t="str">
        <f t="shared" si="18"/>
        <v>Match</v>
      </c>
      <c r="AG90" t="str">
        <f t="shared" si="19"/>
        <v>Match</v>
      </c>
    </row>
    <row r="91" spans="1:33">
      <c r="A91" t="s">
        <v>377</v>
      </c>
      <c r="B91" s="3">
        <v>45540</v>
      </c>
      <c r="C91" s="3">
        <v>45540</v>
      </c>
      <c r="D91">
        <f t="shared" si="10"/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>
        <v>1</v>
      </c>
      <c r="X91" t="s">
        <v>2765</v>
      </c>
      <c r="Y91">
        <f t="shared" si="11"/>
        <v>0.2</v>
      </c>
      <c r="Z91">
        <f t="shared" si="12"/>
        <v>21062.104000000003</v>
      </c>
      <c r="AA91">
        <f t="shared" si="13"/>
        <v>9004.9740000000038</v>
      </c>
      <c r="AB91" s="7">
        <f t="shared" si="14"/>
        <v>0.42754389589947911</v>
      </c>
      <c r="AC91" t="str">
        <f t="shared" si="15"/>
        <v>September</v>
      </c>
      <c r="AD91">
        <f t="shared" si="16"/>
        <v>2024</v>
      </c>
      <c r="AE91" t="str">
        <f t="shared" si="17"/>
        <v>Clean</v>
      </c>
      <c r="AF91" t="str">
        <f t="shared" si="18"/>
        <v>Match</v>
      </c>
      <c r="AG91" t="str">
        <f t="shared" si="19"/>
        <v>Match</v>
      </c>
    </row>
    <row r="92" spans="1:33">
      <c r="A92" t="s">
        <v>380</v>
      </c>
      <c r="B92" s="3">
        <v>45893</v>
      </c>
      <c r="C92" s="3">
        <v>45898</v>
      </c>
      <c r="D92">
        <f t="shared" si="10"/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>
        <v>2</v>
      </c>
      <c r="X92" t="s">
        <v>2764</v>
      </c>
      <c r="Y92">
        <f t="shared" si="11"/>
        <v>0.15</v>
      </c>
      <c r="Z92">
        <f t="shared" si="12"/>
        <v>9445.098</v>
      </c>
      <c r="AA92">
        <f t="shared" si="13"/>
        <v>3858.8180000000002</v>
      </c>
      <c r="AB92" s="7">
        <f t="shared" si="14"/>
        <v>0.40855245758170006</v>
      </c>
      <c r="AC92" t="str">
        <f t="shared" si="15"/>
        <v>August</v>
      </c>
      <c r="AD92">
        <f t="shared" si="16"/>
        <v>2025</v>
      </c>
      <c r="AE92" t="str">
        <f t="shared" si="17"/>
        <v>Warning</v>
      </c>
      <c r="AF92" t="str">
        <f t="shared" si="18"/>
        <v>Match</v>
      </c>
      <c r="AG92" t="str">
        <f t="shared" si="19"/>
        <v>Match</v>
      </c>
    </row>
    <row r="93" spans="1:33">
      <c r="A93" t="s">
        <v>383</v>
      </c>
      <c r="B93" s="3">
        <v>45718</v>
      </c>
      <c r="C93" s="3">
        <v>45724</v>
      </c>
      <c r="D93">
        <f t="shared" si="10"/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>
        <v>1</v>
      </c>
      <c r="X93" t="s">
        <v>2765</v>
      </c>
      <c r="Y93">
        <f t="shared" si="11"/>
        <v>0</v>
      </c>
      <c r="Z93">
        <f t="shared" si="12"/>
        <v>2427.12</v>
      </c>
      <c r="AA93">
        <f t="shared" si="13"/>
        <v>888.77</v>
      </c>
      <c r="AB93" s="7">
        <f t="shared" si="14"/>
        <v>0.36618296581957216</v>
      </c>
      <c r="AC93" t="str">
        <f t="shared" si="15"/>
        <v>March</v>
      </c>
      <c r="AD93">
        <f t="shared" si="16"/>
        <v>2025</v>
      </c>
      <c r="AE93" t="str">
        <f t="shared" si="17"/>
        <v>Clean</v>
      </c>
      <c r="AF93" t="str">
        <f t="shared" si="18"/>
        <v>Match</v>
      </c>
      <c r="AG93" t="str">
        <f t="shared" si="19"/>
        <v>Mismatch</v>
      </c>
    </row>
    <row r="94" spans="1:33">
      <c r="A94" t="s">
        <v>386</v>
      </c>
      <c r="B94" s="3">
        <v>45680</v>
      </c>
      <c r="C94" s="3">
        <v>45683</v>
      </c>
      <c r="D94">
        <f t="shared" si="10"/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>
        <v>1</v>
      </c>
      <c r="X94" t="s">
        <v>2765</v>
      </c>
      <c r="Y94">
        <f t="shared" si="11"/>
        <v>0.1</v>
      </c>
      <c r="Z94">
        <f t="shared" si="12"/>
        <v>36111.906000000003</v>
      </c>
      <c r="AA94">
        <f t="shared" si="13"/>
        <v>6917.4060000000027</v>
      </c>
      <c r="AB94" s="7">
        <f t="shared" si="14"/>
        <v>0.19155471882320479</v>
      </c>
      <c r="AC94" t="str">
        <f t="shared" si="15"/>
        <v>January</v>
      </c>
      <c r="AD94">
        <f t="shared" si="16"/>
        <v>2025</v>
      </c>
      <c r="AE94" t="str">
        <f t="shared" si="17"/>
        <v>Clean</v>
      </c>
      <c r="AF94" t="str">
        <f t="shared" si="18"/>
        <v>Match</v>
      </c>
      <c r="AG94" t="str">
        <f t="shared" si="19"/>
        <v>Match</v>
      </c>
    </row>
    <row r="95" spans="1:33">
      <c r="A95" t="s">
        <v>389</v>
      </c>
      <c r="B95" s="3">
        <v>45298</v>
      </c>
      <c r="C95" s="3">
        <v>45304</v>
      </c>
      <c r="D95">
        <f t="shared" si="10"/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>
        <v>1</v>
      </c>
      <c r="X95" t="s">
        <v>2765</v>
      </c>
      <c r="Y95">
        <f t="shared" si="11"/>
        <v>-0.09</v>
      </c>
      <c r="Z95">
        <f t="shared" si="12"/>
        <v>21279.841099999998</v>
      </c>
      <c r="AA95">
        <f t="shared" si="13"/>
        <v>8824.0610999999972</v>
      </c>
      <c r="AB95" s="7">
        <f t="shared" si="14"/>
        <v>0.41466762174272054</v>
      </c>
      <c r="AC95" t="str">
        <f t="shared" si="15"/>
        <v>January</v>
      </c>
      <c r="AD95">
        <f t="shared" si="16"/>
        <v>2024</v>
      </c>
      <c r="AE95" t="str">
        <f t="shared" si="17"/>
        <v>Invalid</v>
      </c>
      <c r="AF95" t="str">
        <f t="shared" si="18"/>
        <v>Mismatch</v>
      </c>
      <c r="AG95" t="str">
        <f t="shared" si="19"/>
        <v>Mismatch</v>
      </c>
    </row>
    <row r="96" spans="1:33">
      <c r="A96" t="s">
        <v>392</v>
      </c>
      <c r="B96" s="3">
        <v>45541</v>
      </c>
      <c r="C96" s="3">
        <v>45544</v>
      </c>
      <c r="D96">
        <f t="shared" si="10"/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>
        <v>1</v>
      </c>
      <c r="X96" t="s">
        <v>2765</v>
      </c>
      <c r="Y96">
        <f t="shared" si="11"/>
        <v>0</v>
      </c>
      <c r="Z96">
        <f t="shared" si="12"/>
        <v>26470.710000000003</v>
      </c>
      <c r="AA96">
        <f t="shared" si="13"/>
        <v>5103.1100000000042</v>
      </c>
      <c r="AB96" s="7">
        <f t="shared" si="14"/>
        <v>0.19278326875251944</v>
      </c>
      <c r="AC96" t="str">
        <f t="shared" si="15"/>
        <v>September</v>
      </c>
      <c r="AD96">
        <f t="shared" si="16"/>
        <v>2024</v>
      </c>
      <c r="AE96" t="str">
        <f t="shared" si="17"/>
        <v>Clean</v>
      </c>
      <c r="AF96" t="str">
        <f t="shared" si="18"/>
        <v>Match</v>
      </c>
      <c r="AG96" t="str">
        <f t="shared" si="19"/>
        <v>Match</v>
      </c>
    </row>
    <row r="97" spans="1:33">
      <c r="A97" t="s">
        <v>395</v>
      </c>
      <c r="B97" s="3">
        <v>45905</v>
      </c>
      <c r="C97" s="3">
        <v>45910</v>
      </c>
      <c r="D97">
        <f t="shared" si="10"/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>
        <v>1</v>
      </c>
      <c r="X97" t="s">
        <v>2765</v>
      </c>
      <c r="Y97">
        <f t="shared" si="11"/>
        <v>0</v>
      </c>
      <c r="Z97">
        <f t="shared" si="12"/>
        <v>10524.78</v>
      </c>
      <c r="AA97">
        <f t="shared" si="13"/>
        <v>1683.7300000000014</v>
      </c>
      <c r="AB97" s="7">
        <f t="shared" si="14"/>
        <v>0.15997769074507984</v>
      </c>
      <c r="AC97" t="str">
        <f t="shared" si="15"/>
        <v>September</v>
      </c>
      <c r="AD97">
        <f t="shared" si="16"/>
        <v>2025</v>
      </c>
      <c r="AE97" t="str">
        <f t="shared" si="17"/>
        <v>Clean</v>
      </c>
      <c r="AF97" t="str">
        <f t="shared" si="18"/>
        <v>Match</v>
      </c>
      <c r="AG97" t="str">
        <f t="shared" si="19"/>
        <v>Match</v>
      </c>
    </row>
    <row r="98" spans="1:33">
      <c r="A98" t="s">
        <v>398</v>
      </c>
      <c r="B98" s="3">
        <v>45448</v>
      </c>
      <c r="C98" s="3">
        <v>45450</v>
      </c>
      <c r="D98">
        <f t="shared" si="10"/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>
        <v>1</v>
      </c>
      <c r="X98" t="s">
        <v>2765</v>
      </c>
      <c r="Y98">
        <f t="shared" si="11"/>
        <v>0.15</v>
      </c>
      <c r="Z98">
        <f t="shared" si="12"/>
        <v>3840.7079999999996</v>
      </c>
      <c r="AA98">
        <f t="shared" si="13"/>
        <v>1324.4179999999997</v>
      </c>
      <c r="AB98" s="7">
        <f t="shared" si="14"/>
        <v>0.34483694152224009</v>
      </c>
      <c r="AC98" t="str">
        <f t="shared" si="15"/>
        <v>June</v>
      </c>
      <c r="AD98">
        <f t="shared" si="16"/>
        <v>2024</v>
      </c>
      <c r="AE98" t="str">
        <f t="shared" si="17"/>
        <v>Clean</v>
      </c>
      <c r="AF98" t="str">
        <f t="shared" si="18"/>
        <v>Match</v>
      </c>
      <c r="AG98" t="str">
        <f t="shared" si="19"/>
        <v>Match</v>
      </c>
    </row>
    <row r="99" spans="1:33">
      <c r="A99" t="s">
        <v>401</v>
      </c>
      <c r="B99" s="3">
        <v>45877</v>
      </c>
      <c r="C99" s="3">
        <v>45880</v>
      </c>
      <c r="D99">
        <f t="shared" si="10"/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>
        <v>1</v>
      </c>
      <c r="X99" t="s">
        <v>2765</v>
      </c>
      <c r="Y99">
        <f t="shared" si="11"/>
        <v>0.2</v>
      </c>
      <c r="Z99">
        <f t="shared" si="12"/>
        <v>14409.44</v>
      </c>
      <c r="AA99">
        <f t="shared" si="13"/>
        <v>5599.4700000000012</v>
      </c>
      <c r="AB99" s="7">
        <f t="shared" si="14"/>
        <v>0.38859733619071951</v>
      </c>
      <c r="AC99" t="str">
        <f t="shared" si="15"/>
        <v>August</v>
      </c>
      <c r="AD99">
        <f t="shared" si="16"/>
        <v>2025</v>
      </c>
      <c r="AE99" t="str">
        <f t="shared" si="17"/>
        <v>Clean</v>
      </c>
      <c r="AF99" t="str">
        <f t="shared" si="18"/>
        <v>Match</v>
      </c>
      <c r="AG99" t="str">
        <f t="shared" si="19"/>
        <v>Match</v>
      </c>
    </row>
    <row r="100" spans="1:33">
      <c r="A100" t="s">
        <v>404</v>
      </c>
      <c r="B100" s="3">
        <v>45317</v>
      </c>
      <c r="C100" s="3">
        <v>45323</v>
      </c>
      <c r="D100">
        <f t="shared" si="10"/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2760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>
        <v>1</v>
      </c>
      <c r="X100" t="s">
        <v>2765</v>
      </c>
      <c r="Y100">
        <f t="shared" si="11"/>
        <v>0.1</v>
      </c>
      <c r="Z100">
        <f t="shared" si="12"/>
        <v>15184.295999999998</v>
      </c>
      <c r="AA100">
        <f t="shared" si="13"/>
        <v>3913.5559999999987</v>
      </c>
      <c r="AB100" s="7">
        <f t="shared" si="14"/>
        <v>0.25773707256497103</v>
      </c>
      <c r="AC100" t="str">
        <f t="shared" si="15"/>
        <v>January</v>
      </c>
      <c r="AD100">
        <f t="shared" si="16"/>
        <v>2024</v>
      </c>
      <c r="AE100" t="str">
        <f t="shared" si="17"/>
        <v>Clean</v>
      </c>
      <c r="AF100" t="str">
        <f t="shared" si="18"/>
        <v>Match</v>
      </c>
      <c r="AG100" t="str">
        <f t="shared" si="19"/>
        <v>Match</v>
      </c>
    </row>
    <row r="101" spans="1:33">
      <c r="A101" t="s">
        <v>407</v>
      </c>
      <c r="B101" s="3">
        <v>45668</v>
      </c>
      <c r="C101" s="3">
        <v>45668</v>
      </c>
      <c r="D101">
        <f t="shared" si="10"/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>
        <v>1</v>
      </c>
      <c r="X101" t="s">
        <v>2765</v>
      </c>
      <c r="Y101">
        <f t="shared" si="11"/>
        <v>0</v>
      </c>
      <c r="Z101">
        <f t="shared" si="12"/>
        <v>6495.87</v>
      </c>
      <c r="AA101">
        <f t="shared" si="13"/>
        <v>1794.9799999999996</v>
      </c>
      <c r="AB101" s="7">
        <f t="shared" si="14"/>
        <v>0.27632634273777024</v>
      </c>
      <c r="AC101" t="str">
        <f t="shared" si="15"/>
        <v>January</v>
      </c>
      <c r="AD101">
        <f t="shared" si="16"/>
        <v>2025</v>
      </c>
      <c r="AE101" t="str">
        <f t="shared" si="17"/>
        <v>Clean</v>
      </c>
      <c r="AF101" t="str">
        <f t="shared" si="18"/>
        <v>Match</v>
      </c>
      <c r="AG101" t="str">
        <f t="shared" si="19"/>
        <v>Match</v>
      </c>
    </row>
    <row r="102" spans="1:33">
      <c r="A102" t="s">
        <v>410</v>
      </c>
      <c r="B102" s="3">
        <v>45912</v>
      </c>
      <c r="C102" s="3">
        <v>45918</v>
      </c>
      <c r="D102">
        <f t="shared" si="10"/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>
        <v>1</v>
      </c>
      <c r="X102" t="s">
        <v>2765</v>
      </c>
      <c r="Y102">
        <f t="shared" si="11"/>
        <v>0.05</v>
      </c>
      <c r="Z102">
        <f t="shared" si="12"/>
        <v>9540.659999999998</v>
      </c>
      <c r="AA102">
        <f t="shared" si="13"/>
        <v>3979.1699999999983</v>
      </c>
      <c r="AB102" s="7">
        <f t="shared" si="14"/>
        <v>0.41707491934520241</v>
      </c>
      <c r="AC102" t="str">
        <f t="shared" si="15"/>
        <v>September</v>
      </c>
      <c r="AD102">
        <f t="shared" si="16"/>
        <v>2025</v>
      </c>
      <c r="AE102" t="str">
        <f t="shared" si="17"/>
        <v>Clean</v>
      </c>
      <c r="AF102" t="str">
        <f t="shared" si="18"/>
        <v>Match</v>
      </c>
      <c r="AG102" t="str">
        <f t="shared" si="19"/>
        <v>Match</v>
      </c>
    </row>
    <row r="103" spans="1:33">
      <c r="A103" t="s">
        <v>413</v>
      </c>
      <c r="B103" s="3">
        <v>45465</v>
      </c>
      <c r="C103" s="3">
        <v>45469</v>
      </c>
      <c r="D103">
        <f t="shared" si="10"/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>
        <v>1</v>
      </c>
      <c r="X103" t="s">
        <v>2765</v>
      </c>
      <c r="Y103">
        <f t="shared" si="11"/>
        <v>0.25</v>
      </c>
      <c r="Z103">
        <f t="shared" si="12"/>
        <v>16486.95</v>
      </c>
      <c r="AA103">
        <f t="shared" si="13"/>
        <v>4432.8100000000013</v>
      </c>
      <c r="AB103" s="7">
        <f t="shared" si="14"/>
        <v>0.26886780150361356</v>
      </c>
      <c r="AC103" t="str">
        <f t="shared" si="15"/>
        <v>June</v>
      </c>
      <c r="AD103">
        <f t="shared" si="16"/>
        <v>2024</v>
      </c>
      <c r="AE103" t="str">
        <f t="shared" si="17"/>
        <v>Clean</v>
      </c>
      <c r="AF103" t="str">
        <f t="shared" si="18"/>
        <v>Match</v>
      </c>
      <c r="AG103" t="str">
        <f t="shared" si="19"/>
        <v>Match</v>
      </c>
    </row>
    <row r="104" spans="1:33">
      <c r="A104" t="s">
        <v>416</v>
      </c>
      <c r="B104" s="3">
        <v>45850</v>
      </c>
      <c r="C104" s="3">
        <v>45854</v>
      </c>
      <c r="D104">
        <f t="shared" si="10"/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>
        <v>1</v>
      </c>
      <c r="X104" t="s">
        <v>2765</v>
      </c>
      <c r="Y104">
        <f t="shared" si="11"/>
        <v>0</v>
      </c>
      <c r="Z104">
        <f t="shared" si="12"/>
        <v>11462.84</v>
      </c>
      <c r="AA104">
        <f t="shared" si="13"/>
        <v>2483.0599999999995</v>
      </c>
      <c r="AB104" s="7">
        <f t="shared" si="14"/>
        <v>0.21661822026653077</v>
      </c>
      <c r="AC104" t="str">
        <f t="shared" si="15"/>
        <v>July</v>
      </c>
      <c r="AD104">
        <f t="shared" si="16"/>
        <v>2025</v>
      </c>
      <c r="AE104" t="str">
        <f t="shared" si="17"/>
        <v>Clean</v>
      </c>
      <c r="AF104" t="str">
        <f t="shared" si="18"/>
        <v>Match</v>
      </c>
      <c r="AG104" t="str">
        <f t="shared" si="19"/>
        <v>Match</v>
      </c>
    </row>
    <row r="105" spans="1:33">
      <c r="A105" t="s">
        <v>419</v>
      </c>
      <c r="B105" s="3">
        <v>45779</v>
      </c>
      <c r="C105" s="3">
        <v>45787</v>
      </c>
      <c r="D105">
        <f t="shared" si="10"/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>
        <v>1</v>
      </c>
      <c r="X105" t="s">
        <v>2765</v>
      </c>
      <c r="Y105">
        <f t="shared" si="11"/>
        <v>0.2</v>
      </c>
      <c r="Z105">
        <f t="shared" si="12"/>
        <v>7809.0880000000006</v>
      </c>
      <c r="AA105">
        <f t="shared" si="13"/>
        <v>1151.3380000000006</v>
      </c>
      <c r="AB105" s="7">
        <f t="shared" si="14"/>
        <v>0.14743565445798543</v>
      </c>
      <c r="AC105" t="str">
        <f t="shared" si="15"/>
        <v>May</v>
      </c>
      <c r="AD105">
        <f t="shared" si="16"/>
        <v>2025</v>
      </c>
      <c r="AE105" t="str">
        <f t="shared" si="17"/>
        <v>Clean</v>
      </c>
      <c r="AF105" t="str">
        <f t="shared" si="18"/>
        <v>Match</v>
      </c>
      <c r="AG105" t="str">
        <f t="shared" si="19"/>
        <v>Match</v>
      </c>
    </row>
    <row r="106" spans="1:33">
      <c r="A106" t="s">
        <v>422</v>
      </c>
      <c r="B106" s="3">
        <v>45689</v>
      </c>
      <c r="C106" s="3">
        <v>45696</v>
      </c>
      <c r="D106">
        <f t="shared" si="10"/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>
        <v>1</v>
      </c>
      <c r="X106" t="s">
        <v>2765</v>
      </c>
      <c r="Y106">
        <f t="shared" si="11"/>
        <v>0.25</v>
      </c>
      <c r="Z106">
        <f t="shared" si="12"/>
        <v>7922.0250000000005</v>
      </c>
      <c r="AA106">
        <f t="shared" si="13"/>
        <v>2302.0750000000007</v>
      </c>
      <c r="AB106" s="7">
        <f t="shared" si="14"/>
        <v>0.29059173633004193</v>
      </c>
      <c r="AC106" t="str">
        <f t="shared" si="15"/>
        <v>February</v>
      </c>
      <c r="AD106">
        <f t="shared" si="16"/>
        <v>2025</v>
      </c>
      <c r="AE106" t="str">
        <f t="shared" si="17"/>
        <v>Clean</v>
      </c>
      <c r="AF106" t="str">
        <f t="shared" si="18"/>
        <v>Mismatch</v>
      </c>
      <c r="AG106" t="str">
        <f t="shared" si="19"/>
        <v>Match</v>
      </c>
    </row>
    <row r="107" spans="1:33">
      <c r="A107" t="s">
        <v>425</v>
      </c>
      <c r="B107" s="3">
        <v>45467</v>
      </c>
      <c r="C107" s="3">
        <v>45472</v>
      </c>
      <c r="D107">
        <f t="shared" si="10"/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>
        <v>1</v>
      </c>
      <c r="X107" t="s">
        <v>2765</v>
      </c>
      <c r="Y107">
        <f t="shared" si="11"/>
        <v>0.1</v>
      </c>
      <c r="Z107">
        <f t="shared" si="12"/>
        <v>1233</v>
      </c>
      <c r="AA107">
        <f t="shared" si="13"/>
        <v>226.10000000000002</v>
      </c>
      <c r="AB107" s="7">
        <f t="shared" si="14"/>
        <v>0.18337388483373887</v>
      </c>
      <c r="AC107" t="str">
        <f t="shared" si="15"/>
        <v>June</v>
      </c>
      <c r="AD107">
        <f t="shared" si="16"/>
        <v>2024</v>
      </c>
      <c r="AE107" t="str">
        <f t="shared" si="17"/>
        <v>Clean</v>
      </c>
      <c r="AF107" t="str">
        <f t="shared" si="18"/>
        <v>Match</v>
      </c>
      <c r="AG107" t="str">
        <f t="shared" si="19"/>
        <v>Match</v>
      </c>
    </row>
    <row r="108" spans="1:33">
      <c r="A108" t="s">
        <v>428</v>
      </c>
      <c r="B108" s="3">
        <v>45342</v>
      </c>
      <c r="C108" s="3">
        <v>45350</v>
      </c>
      <c r="D108">
        <f t="shared" si="10"/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/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>
        <v>1</v>
      </c>
      <c r="X108" t="s">
        <v>2765</v>
      </c>
      <c r="Y108">
        <f t="shared" si="11"/>
        <v>0</v>
      </c>
      <c r="Z108">
        <f t="shared" si="12"/>
        <v>8008.08</v>
      </c>
      <c r="AA108">
        <f t="shared" si="13"/>
        <v>2298.6899999999996</v>
      </c>
      <c r="AB108" s="7">
        <f t="shared" si="14"/>
        <v>0.28704633320346445</v>
      </c>
      <c r="AC108" t="str">
        <f t="shared" si="15"/>
        <v>February</v>
      </c>
      <c r="AD108">
        <f t="shared" si="16"/>
        <v>2024</v>
      </c>
      <c r="AE108" t="str">
        <f t="shared" si="17"/>
        <v>Clean</v>
      </c>
      <c r="AF108" t="str">
        <f t="shared" si="18"/>
        <v>Mismatch</v>
      </c>
      <c r="AG108" t="str">
        <f t="shared" si="19"/>
        <v>Mismatch</v>
      </c>
    </row>
    <row r="109" spans="1:33">
      <c r="A109" t="s">
        <v>431</v>
      </c>
      <c r="B109" s="3">
        <v>45594</v>
      </c>
      <c r="C109" s="3">
        <v>45600</v>
      </c>
      <c r="D109">
        <f t="shared" si="10"/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>
        <v>1</v>
      </c>
      <c r="X109" t="s">
        <v>2765</v>
      </c>
      <c r="Y109">
        <f t="shared" si="11"/>
        <v>0.05</v>
      </c>
      <c r="Z109">
        <f t="shared" si="12"/>
        <v>12263.236500000001</v>
      </c>
      <c r="AA109">
        <f t="shared" si="13"/>
        <v>3337.6665000000012</v>
      </c>
      <c r="AB109" s="7">
        <f t="shared" si="14"/>
        <v>0.27216848504878799</v>
      </c>
      <c r="AC109" t="str">
        <f t="shared" si="15"/>
        <v>October</v>
      </c>
      <c r="AD109">
        <f t="shared" si="16"/>
        <v>2024</v>
      </c>
      <c r="AE109" t="str">
        <f t="shared" si="17"/>
        <v>Clean</v>
      </c>
      <c r="AF109" t="str">
        <f t="shared" si="18"/>
        <v>Match</v>
      </c>
      <c r="AG109" t="str">
        <f t="shared" si="19"/>
        <v>Match</v>
      </c>
    </row>
    <row r="110" spans="1:33">
      <c r="A110" t="s">
        <v>434</v>
      </c>
      <c r="B110" s="3">
        <v>45519</v>
      </c>
      <c r="C110" s="3">
        <v>45527</v>
      </c>
      <c r="D110">
        <f t="shared" si="10"/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>
        <v>1</v>
      </c>
      <c r="X110" t="s">
        <v>2765</v>
      </c>
      <c r="Y110">
        <f t="shared" si="11"/>
        <v>0.25</v>
      </c>
      <c r="Z110">
        <f t="shared" si="12"/>
        <v>806.31</v>
      </c>
      <c r="AA110">
        <f t="shared" si="13"/>
        <v>307.80999999999995</v>
      </c>
      <c r="AB110" s="7">
        <f t="shared" si="14"/>
        <v>0.38175143555208291</v>
      </c>
      <c r="AC110" t="str">
        <f t="shared" si="15"/>
        <v>August</v>
      </c>
      <c r="AD110">
        <f t="shared" si="16"/>
        <v>2024</v>
      </c>
      <c r="AE110" t="str">
        <f t="shared" si="17"/>
        <v>Clean</v>
      </c>
      <c r="AF110" t="str">
        <f t="shared" si="18"/>
        <v>Match</v>
      </c>
      <c r="AG110" t="str">
        <f t="shared" si="19"/>
        <v>Match</v>
      </c>
    </row>
    <row r="111" spans="1:33">
      <c r="A111" t="s">
        <v>437</v>
      </c>
      <c r="B111" s="3">
        <v>45892</v>
      </c>
      <c r="C111" s="3">
        <v>45896</v>
      </c>
      <c r="D111">
        <f t="shared" si="10"/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>
        <v>1</v>
      </c>
      <c r="X111" t="s">
        <v>2765</v>
      </c>
      <c r="Y111">
        <f t="shared" si="11"/>
        <v>0.25</v>
      </c>
      <c r="Z111">
        <f t="shared" si="12"/>
        <v>2091.4650000000001</v>
      </c>
      <c r="AA111">
        <f t="shared" si="13"/>
        <v>774.24500000000012</v>
      </c>
      <c r="AB111" s="7">
        <f t="shared" si="14"/>
        <v>0.37019266399389905</v>
      </c>
      <c r="AC111" t="str">
        <f t="shared" si="15"/>
        <v>August</v>
      </c>
      <c r="AD111">
        <f t="shared" si="16"/>
        <v>2025</v>
      </c>
      <c r="AE111" t="str">
        <f t="shared" si="17"/>
        <v>Clean</v>
      </c>
      <c r="AF111" t="str">
        <f t="shared" si="18"/>
        <v>Match</v>
      </c>
      <c r="AG111" t="str">
        <f t="shared" si="19"/>
        <v>Match</v>
      </c>
    </row>
    <row r="112" spans="1:33">
      <c r="A112" t="s">
        <v>440</v>
      </c>
      <c r="B112" s="3">
        <v>45583</v>
      </c>
      <c r="C112" s="3">
        <v>45589</v>
      </c>
      <c r="D112">
        <f t="shared" si="10"/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>
        <v>1</v>
      </c>
      <c r="X112" t="s">
        <v>2765</v>
      </c>
      <c r="Y112">
        <f t="shared" si="11"/>
        <v>0</v>
      </c>
      <c r="Z112">
        <f t="shared" si="12"/>
        <v>4500.9399999999996</v>
      </c>
      <c r="AA112">
        <f t="shared" si="13"/>
        <v>1893.2099999999996</v>
      </c>
      <c r="AB112" s="7">
        <f t="shared" si="14"/>
        <v>0.42062546934640316</v>
      </c>
      <c r="AC112" t="str">
        <f t="shared" si="15"/>
        <v>October</v>
      </c>
      <c r="AD112">
        <f t="shared" si="16"/>
        <v>2024</v>
      </c>
      <c r="AE112" t="str">
        <f t="shared" si="17"/>
        <v>Clean</v>
      </c>
      <c r="AF112" t="str">
        <f t="shared" si="18"/>
        <v>Match</v>
      </c>
      <c r="AG112" t="str">
        <f t="shared" si="19"/>
        <v>Match</v>
      </c>
    </row>
    <row r="113" spans="1:33">
      <c r="A113" t="s">
        <v>443</v>
      </c>
      <c r="B113" s="3">
        <v>45835</v>
      </c>
      <c r="C113" s="3">
        <v>45838</v>
      </c>
      <c r="D113">
        <f t="shared" si="10"/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>
        <v>1</v>
      </c>
      <c r="X113" t="s">
        <v>2765</v>
      </c>
      <c r="Y113">
        <f t="shared" si="11"/>
        <v>0.05</v>
      </c>
      <c r="Z113">
        <f t="shared" si="12"/>
        <v>1623.018</v>
      </c>
      <c r="AA113">
        <f t="shared" si="13"/>
        <v>545.55799999999999</v>
      </c>
      <c r="AB113" s="7">
        <f t="shared" si="14"/>
        <v>0.3361379849145234</v>
      </c>
      <c r="AC113" t="str">
        <f t="shared" si="15"/>
        <v>June</v>
      </c>
      <c r="AD113">
        <f t="shared" si="16"/>
        <v>2025</v>
      </c>
      <c r="AE113" t="str">
        <f t="shared" si="17"/>
        <v>Clean</v>
      </c>
      <c r="AF113" t="str">
        <f t="shared" si="18"/>
        <v>Match</v>
      </c>
      <c r="AG113" t="str">
        <f t="shared" si="19"/>
        <v>Match</v>
      </c>
    </row>
    <row r="114" spans="1:33">
      <c r="A114" t="s">
        <v>446</v>
      </c>
      <c r="B114" s="3">
        <v>45301</v>
      </c>
      <c r="C114" s="3">
        <v>45305</v>
      </c>
      <c r="D114">
        <f t="shared" si="10"/>
        <v>4</v>
      </c>
      <c r="E114" t="s">
        <v>447</v>
      </c>
      <c r="F114" t="s">
        <v>132</v>
      </c>
      <c r="G114" t="s">
        <v>24</v>
      </c>
      <c r="H114" t="s">
        <v>2760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>
        <v>1</v>
      </c>
      <c r="X114" t="s">
        <v>2765</v>
      </c>
      <c r="Y114">
        <f t="shared" si="11"/>
        <v>0.05</v>
      </c>
      <c r="Z114">
        <f t="shared" si="12"/>
        <v>10914.018</v>
      </c>
      <c r="AA114">
        <f t="shared" si="13"/>
        <v>4365.2780000000002</v>
      </c>
      <c r="AB114" s="7">
        <f t="shared" si="14"/>
        <v>0.39996983695647198</v>
      </c>
      <c r="AC114" t="str">
        <f t="shared" si="15"/>
        <v>January</v>
      </c>
      <c r="AD114">
        <f t="shared" si="16"/>
        <v>2024</v>
      </c>
      <c r="AE114" t="str">
        <f t="shared" si="17"/>
        <v>Clean</v>
      </c>
      <c r="AF114" t="str">
        <f t="shared" si="18"/>
        <v>Match</v>
      </c>
      <c r="AG114" t="str">
        <f t="shared" si="19"/>
        <v>Match</v>
      </c>
    </row>
    <row r="115" spans="1:33">
      <c r="A115" t="s">
        <v>449</v>
      </c>
      <c r="B115" s="3">
        <v>45334</v>
      </c>
      <c r="C115" s="3">
        <v>45334</v>
      </c>
      <c r="D115">
        <f t="shared" si="10"/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>
        <v>1</v>
      </c>
      <c r="X115" t="s">
        <v>2765</v>
      </c>
      <c r="Y115">
        <f t="shared" si="11"/>
        <v>0.25</v>
      </c>
      <c r="Z115">
        <f t="shared" si="12"/>
        <v>2450.5875000000001</v>
      </c>
      <c r="AA115">
        <f t="shared" si="13"/>
        <v>810.69749999999999</v>
      </c>
      <c r="AB115" s="7">
        <f t="shared" si="14"/>
        <v>0.33081761006289306</v>
      </c>
      <c r="AC115" t="str">
        <f t="shared" si="15"/>
        <v>February</v>
      </c>
      <c r="AD115">
        <f t="shared" si="16"/>
        <v>2024</v>
      </c>
      <c r="AE115" t="str">
        <f t="shared" si="17"/>
        <v>Clean</v>
      </c>
      <c r="AF115" t="str">
        <f t="shared" si="18"/>
        <v>Match</v>
      </c>
      <c r="AG115" t="str">
        <f t="shared" si="19"/>
        <v>Match</v>
      </c>
    </row>
    <row r="116" spans="1:33">
      <c r="A116" t="s">
        <v>451</v>
      </c>
      <c r="B116" s="3">
        <v>45560</v>
      </c>
      <c r="C116" s="3">
        <v>45565</v>
      </c>
      <c r="D116">
        <f t="shared" si="10"/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>
        <v>1</v>
      </c>
      <c r="X116" t="s">
        <v>2765</v>
      </c>
      <c r="Y116">
        <f t="shared" si="11"/>
        <v>0.1</v>
      </c>
      <c r="Z116">
        <f t="shared" si="12"/>
        <v>3949.56</v>
      </c>
      <c r="AA116">
        <f t="shared" si="13"/>
        <v>762.82999999999993</v>
      </c>
      <c r="AB116" s="7">
        <f t="shared" si="14"/>
        <v>0.19314303365438173</v>
      </c>
      <c r="AC116" t="str">
        <f t="shared" si="15"/>
        <v>September</v>
      </c>
      <c r="AD116">
        <f t="shared" si="16"/>
        <v>2024</v>
      </c>
      <c r="AE116" t="str">
        <f t="shared" si="17"/>
        <v>Clean</v>
      </c>
      <c r="AF116" t="str">
        <f t="shared" si="18"/>
        <v>Match</v>
      </c>
      <c r="AG116" t="str">
        <f t="shared" si="19"/>
        <v>Match</v>
      </c>
    </row>
    <row r="117" spans="1:33">
      <c r="A117" t="s">
        <v>454</v>
      </c>
      <c r="B117" s="3">
        <v>45653</v>
      </c>
      <c r="C117" s="3">
        <v>45658</v>
      </c>
      <c r="D117">
        <f t="shared" si="10"/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>
        <v>1</v>
      </c>
      <c r="X117" t="s">
        <v>2765</v>
      </c>
      <c r="Y117">
        <f t="shared" si="11"/>
        <v>0.15</v>
      </c>
      <c r="Z117">
        <f t="shared" si="12"/>
        <v>758.77799999999991</v>
      </c>
      <c r="AA117">
        <f t="shared" si="13"/>
        <v>268.0379999999999</v>
      </c>
      <c r="AB117" s="7">
        <f t="shared" si="14"/>
        <v>0.35324956706704719</v>
      </c>
      <c r="AC117" t="str">
        <f t="shared" si="15"/>
        <v>December</v>
      </c>
      <c r="AD117">
        <f t="shared" si="16"/>
        <v>2024</v>
      </c>
      <c r="AE117" t="str">
        <f t="shared" si="17"/>
        <v>Clean</v>
      </c>
      <c r="AF117" t="str">
        <f t="shared" si="18"/>
        <v>Match</v>
      </c>
      <c r="AG117" t="str">
        <f t="shared" si="19"/>
        <v>Match</v>
      </c>
    </row>
    <row r="118" spans="1:33">
      <c r="A118" t="s">
        <v>457</v>
      </c>
      <c r="B118" s="3">
        <v>45703</v>
      </c>
      <c r="C118" s="3">
        <v>45707</v>
      </c>
      <c r="D118">
        <f t="shared" si="10"/>
        <v>4</v>
      </c>
      <c r="E118" t="s">
        <v>458</v>
      </c>
      <c r="F118" t="s">
        <v>62</v>
      </c>
      <c r="G118" t="s">
        <v>37</v>
      </c>
      <c r="H118" t="s">
        <v>2760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>
        <v>1</v>
      </c>
      <c r="X118" t="s">
        <v>2765</v>
      </c>
      <c r="Y118">
        <f t="shared" si="11"/>
        <v>0.25</v>
      </c>
      <c r="Z118">
        <f t="shared" si="12"/>
        <v>3590.9324999999999</v>
      </c>
      <c r="AA118">
        <f t="shared" si="13"/>
        <v>529.54250000000002</v>
      </c>
      <c r="AB118" s="7">
        <f t="shared" si="14"/>
        <v>0.14746657031286442</v>
      </c>
      <c r="AC118" t="str">
        <f t="shared" si="15"/>
        <v>February</v>
      </c>
      <c r="AD118">
        <f t="shared" si="16"/>
        <v>2025</v>
      </c>
      <c r="AE118" t="str">
        <f t="shared" si="17"/>
        <v>Clean</v>
      </c>
      <c r="AF118" t="str">
        <f t="shared" si="18"/>
        <v>Match</v>
      </c>
      <c r="AG118" t="str">
        <f t="shared" si="19"/>
        <v>Match</v>
      </c>
    </row>
    <row r="119" spans="1:33">
      <c r="A119" t="s">
        <v>460</v>
      </c>
      <c r="B119" s="3">
        <v>45337</v>
      </c>
      <c r="C119" s="3">
        <v>45339</v>
      </c>
      <c r="D119">
        <f t="shared" si="10"/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s="5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>
        <v>1</v>
      </c>
      <c r="X119" t="s">
        <v>2765</v>
      </c>
      <c r="Y119">
        <f t="shared" si="11"/>
        <v>0.7</v>
      </c>
      <c r="Z119">
        <f t="shared" si="12"/>
        <v>8976.2850000000017</v>
      </c>
      <c r="AA119">
        <f t="shared" si="13"/>
        <v>-11393.874999999998</v>
      </c>
      <c r="AB119" s="7">
        <f t="shared" si="14"/>
        <v>-1.2693307977632167</v>
      </c>
      <c r="AC119" t="str">
        <f t="shared" si="15"/>
        <v>February</v>
      </c>
      <c r="AD119">
        <f t="shared" si="16"/>
        <v>2024</v>
      </c>
      <c r="AE119" t="str">
        <f t="shared" si="17"/>
        <v>Clean</v>
      </c>
      <c r="AF119" t="str">
        <f t="shared" si="18"/>
        <v>Mismatch</v>
      </c>
      <c r="AG119" t="str">
        <f t="shared" si="19"/>
        <v>Mismatch</v>
      </c>
    </row>
    <row r="120" spans="1:33">
      <c r="A120" t="s">
        <v>463</v>
      </c>
      <c r="B120" s="3">
        <v>45453</v>
      </c>
      <c r="C120" s="3">
        <v>45461</v>
      </c>
      <c r="D120">
        <f t="shared" si="10"/>
        <v>8</v>
      </c>
      <c r="E120" t="s">
        <v>464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465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>
        <v>1</v>
      </c>
      <c r="X120" t="s">
        <v>2765</v>
      </c>
      <c r="Y120">
        <f t="shared" si="11"/>
        <v>0.2</v>
      </c>
      <c r="Z120">
        <f t="shared" si="12"/>
        <v>6321.0800000000008</v>
      </c>
      <c r="AA120">
        <f t="shared" si="13"/>
        <v>1913.8600000000006</v>
      </c>
      <c r="AB120" s="7">
        <f t="shared" si="14"/>
        <v>0.30277420947053357</v>
      </c>
      <c r="AC120" t="str">
        <f t="shared" si="15"/>
        <v>June</v>
      </c>
      <c r="AD120">
        <f t="shared" si="16"/>
        <v>2024</v>
      </c>
      <c r="AE120" t="str">
        <f t="shared" si="17"/>
        <v>Clean</v>
      </c>
      <c r="AF120" t="str">
        <f t="shared" si="18"/>
        <v>Match</v>
      </c>
      <c r="AG120" t="str">
        <f t="shared" si="19"/>
        <v>Match</v>
      </c>
    </row>
    <row r="121" spans="1:33">
      <c r="A121" t="s">
        <v>466</v>
      </c>
      <c r="B121" s="3">
        <v>45455</v>
      </c>
      <c r="C121" s="3">
        <v>45462</v>
      </c>
      <c r="D121">
        <f t="shared" si="10"/>
        <v>7</v>
      </c>
      <c r="E121" t="s">
        <v>467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468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>
        <v>1</v>
      </c>
      <c r="X121" t="s">
        <v>2765</v>
      </c>
      <c r="Y121">
        <f t="shared" si="11"/>
        <v>0.25</v>
      </c>
      <c r="Z121">
        <f t="shared" si="12"/>
        <v>1884.3000000000002</v>
      </c>
      <c r="AA121">
        <f t="shared" si="13"/>
        <v>366.61000000000013</v>
      </c>
      <c r="AB121" s="7">
        <f t="shared" si="14"/>
        <v>0.19456031417502526</v>
      </c>
      <c r="AC121" t="str">
        <f t="shared" si="15"/>
        <v>June</v>
      </c>
      <c r="AD121">
        <f t="shared" si="16"/>
        <v>2024</v>
      </c>
      <c r="AE121" t="str">
        <f t="shared" si="17"/>
        <v>Clean</v>
      </c>
      <c r="AF121" t="str">
        <f t="shared" si="18"/>
        <v>Match</v>
      </c>
      <c r="AG121" t="str">
        <f t="shared" si="19"/>
        <v>Match</v>
      </c>
    </row>
    <row r="122" spans="1:33">
      <c r="A122" t="s">
        <v>469</v>
      </c>
      <c r="B122" s="3">
        <v>45514</v>
      </c>
      <c r="C122" s="3">
        <v>45522</v>
      </c>
      <c r="D122">
        <f t="shared" si="10"/>
        <v>8</v>
      </c>
      <c r="E122" t="s">
        <v>470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471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>
        <v>1</v>
      </c>
      <c r="X122" t="s">
        <v>2765</v>
      </c>
      <c r="Y122">
        <f t="shared" si="11"/>
        <v>0.2</v>
      </c>
      <c r="Z122">
        <f t="shared" si="12"/>
        <v>1458.9360000000001</v>
      </c>
      <c r="AA122">
        <f t="shared" si="13"/>
        <v>565.7360000000001</v>
      </c>
      <c r="AB122" s="7">
        <f t="shared" si="14"/>
        <v>0.38777300717783375</v>
      </c>
      <c r="AC122" t="str">
        <f t="shared" si="15"/>
        <v>August</v>
      </c>
      <c r="AD122">
        <f t="shared" si="16"/>
        <v>2024</v>
      </c>
      <c r="AE122" t="str">
        <f t="shared" si="17"/>
        <v>Clean</v>
      </c>
      <c r="AF122" t="str">
        <f t="shared" si="18"/>
        <v>Match</v>
      </c>
      <c r="AG122" t="str">
        <f t="shared" si="19"/>
        <v>Match</v>
      </c>
    </row>
    <row r="123" spans="1:33">
      <c r="A123" t="s">
        <v>472</v>
      </c>
      <c r="B123" s="3">
        <v>45891</v>
      </c>
      <c r="C123" s="3">
        <v>45895</v>
      </c>
      <c r="D123">
        <f t="shared" si="10"/>
        <v>4</v>
      </c>
      <c r="E123" t="s">
        <v>473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474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>
        <v>1</v>
      </c>
      <c r="X123" t="s">
        <v>2765</v>
      </c>
      <c r="Y123">
        <f t="shared" si="11"/>
        <v>0</v>
      </c>
      <c r="Z123">
        <f t="shared" si="12"/>
        <v>17414.599999999999</v>
      </c>
      <c r="AA123">
        <f t="shared" si="13"/>
        <v>5653.6899999999987</v>
      </c>
      <c r="AB123" s="7">
        <f t="shared" si="14"/>
        <v>0.3246523032398102</v>
      </c>
      <c r="AC123" t="str">
        <f t="shared" si="15"/>
        <v>August</v>
      </c>
      <c r="AD123">
        <f t="shared" si="16"/>
        <v>2025</v>
      </c>
      <c r="AE123" t="str">
        <f t="shared" si="17"/>
        <v>Clean</v>
      </c>
      <c r="AF123" t="str">
        <f t="shared" si="18"/>
        <v>Match</v>
      </c>
      <c r="AG123" t="str">
        <f t="shared" si="19"/>
        <v>Match</v>
      </c>
    </row>
    <row r="124" spans="1:33">
      <c r="A124" t="s">
        <v>475</v>
      </c>
      <c r="B124" s="3">
        <v>45626</v>
      </c>
      <c r="C124" s="3">
        <v>45630</v>
      </c>
      <c r="D124">
        <f t="shared" si="10"/>
        <v>4</v>
      </c>
      <c r="E124" t="s">
        <v>476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477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>
        <v>1</v>
      </c>
      <c r="X124" t="s">
        <v>2765</v>
      </c>
      <c r="Y124">
        <f t="shared" si="11"/>
        <v>0</v>
      </c>
      <c r="Z124">
        <f t="shared" si="12"/>
        <v>511.04999999999995</v>
      </c>
      <c r="AA124">
        <f t="shared" si="13"/>
        <v>143.86999999999995</v>
      </c>
      <c r="AB124" s="7">
        <f t="shared" si="14"/>
        <v>0.28151844242246349</v>
      </c>
      <c r="AC124" t="str">
        <f t="shared" si="15"/>
        <v>November</v>
      </c>
      <c r="AD124">
        <f t="shared" si="16"/>
        <v>2024</v>
      </c>
      <c r="AE124" t="str">
        <f t="shared" si="17"/>
        <v>Clean</v>
      </c>
      <c r="AF124" t="str">
        <f t="shared" si="18"/>
        <v>Match</v>
      </c>
      <c r="AG124" t="str">
        <f t="shared" si="19"/>
        <v>Match</v>
      </c>
    </row>
    <row r="125" spans="1:33">
      <c r="A125" t="s">
        <v>478</v>
      </c>
      <c r="B125" s="3">
        <v>45436</v>
      </c>
      <c r="C125" s="3">
        <v>45437</v>
      </c>
      <c r="D125">
        <f t="shared" si="10"/>
        <v>1</v>
      </c>
      <c r="E125" t="s">
        <v>479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480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>
        <v>2</v>
      </c>
      <c r="X125" t="s">
        <v>2764</v>
      </c>
      <c r="Y125">
        <f t="shared" si="11"/>
        <v>0</v>
      </c>
      <c r="Z125">
        <f t="shared" si="12"/>
        <v>634.13</v>
      </c>
      <c r="AA125">
        <f t="shared" si="13"/>
        <v>180.77999999999997</v>
      </c>
      <c r="AB125" s="7">
        <f t="shared" si="14"/>
        <v>0.28508350022865969</v>
      </c>
      <c r="AC125" t="str">
        <f t="shared" si="15"/>
        <v>May</v>
      </c>
      <c r="AD125">
        <f t="shared" si="16"/>
        <v>2024</v>
      </c>
      <c r="AE125" t="str">
        <f t="shared" si="17"/>
        <v>Warning</v>
      </c>
      <c r="AF125" t="str">
        <f t="shared" si="18"/>
        <v>Match</v>
      </c>
      <c r="AG125" t="str">
        <f t="shared" si="19"/>
        <v>Match</v>
      </c>
    </row>
    <row r="126" spans="1:33">
      <c r="A126" t="s">
        <v>481</v>
      </c>
      <c r="B126" s="3">
        <v>45494</v>
      </c>
      <c r="C126" s="3">
        <v>45497</v>
      </c>
      <c r="D126">
        <f t="shared" si="10"/>
        <v>3</v>
      </c>
      <c r="E126" t="s">
        <v>482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483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>
        <v>1</v>
      </c>
      <c r="X126" t="s">
        <v>2765</v>
      </c>
      <c r="Y126">
        <f t="shared" si="11"/>
        <v>-0.15</v>
      </c>
      <c r="Z126">
        <f t="shared" si="12"/>
        <v>4813.3709999999992</v>
      </c>
      <c r="AA126">
        <f t="shared" si="13"/>
        <v>1369.6309999999994</v>
      </c>
      <c r="AB126" s="7">
        <f t="shared" si="14"/>
        <v>0.28454715001191466</v>
      </c>
      <c r="AC126" t="str">
        <f t="shared" si="15"/>
        <v>July</v>
      </c>
      <c r="AD126">
        <f t="shared" si="16"/>
        <v>2024</v>
      </c>
      <c r="AE126" t="str">
        <f t="shared" si="17"/>
        <v>Invalid</v>
      </c>
      <c r="AF126" t="str">
        <f t="shared" si="18"/>
        <v>Mismatch</v>
      </c>
      <c r="AG126" t="str">
        <f t="shared" si="19"/>
        <v>Mismatch</v>
      </c>
    </row>
    <row r="127" spans="1:33">
      <c r="A127" t="s">
        <v>484</v>
      </c>
      <c r="B127" s="3">
        <v>45855</v>
      </c>
      <c r="C127" s="3">
        <v>45856</v>
      </c>
      <c r="D127">
        <f t="shared" si="10"/>
        <v>1</v>
      </c>
      <c r="E127" t="s">
        <v>485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486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>
        <v>1</v>
      </c>
      <c r="X127" t="s">
        <v>2765</v>
      </c>
      <c r="Y127">
        <f t="shared" si="11"/>
        <v>0.25</v>
      </c>
      <c r="Z127">
        <f t="shared" si="12"/>
        <v>14558.715</v>
      </c>
      <c r="AA127">
        <f t="shared" si="13"/>
        <v>4967.2350000000006</v>
      </c>
      <c r="AB127" s="7">
        <f t="shared" si="14"/>
        <v>0.34118636157105903</v>
      </c>
      <c r="AC127" t="str">
        <f t="shared" si="15"/>
        <v>July</v>
      </c>
      <c r="AD127">
        <f t="shared" si="16"/>
        <v>2025</v>
      </c>
      <c r="AE127" t="str">
        <f t="shared" si="17"/>
        <v>Clean</v>
      </c>
      <c r="AF127" t="str">
        <f t="shared" si="18"/>
        <v>Match</v>
      </c>
      <c r="AG127" t="str">
        <f t="shared" si="19"/>
        <v>Match</v>
      </c>
    </row>
    <row r="128" spans="1:33">
      <c r="A128" t="s">
        <v>487</v>
      </c>
      <c r="B128" s="3">
        <v>45924</v>
      </c>
      <c r="C128" s="3">
        <v>45926</v>
      </c>
      <c r="D128">
        <f t="shared" si="10"/>
        <v>2</v>
      </c>
      <c r="E128" t="s">
        <v>488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489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>
        <v>1</v>
      </c>
      <c r="X128" t="s">
        <v>2765</v>
      </c>
      <c r="Y128">
        <f t="shared" si="11"/>
        <v>0.1</v>
      </c>
      <c r="Z128">
        <f t="shared" si="12"/>
        <v>4303.4220000000005</v>
      </c>
      <c r="AA128">
        <f t="shared" si="13"/>
        <v>1734.8520000000003</v>
      </c>
      <c r="AB128" s="7">
        <f t="shared" si="14"/>
        <v>0.40313313451481175</v>
      </c>
      <c r="AC128" t="str">
        <f t="shared" si="15"/>
        <v>September</v>
      </c>
      <c r="AD128">
        <f t="shared" si="16"/>
        <v>2025</v>
      </c>
      <c r="AE128" t="str">
        <f t="shared" si="17"/>
        <v>Clean</v>
      </c>
      <c r="AF128" t="str">
        <f t="shared" si="18"/>
        <v>Match</v>
      </c>
      <c r="AG128" t="str">
        <f t="shared" si="19"/>
        <v>Match</v>
      </c>
    </row>
    <row r="129" spans="1:33">
      <c r="A129" t="s">
        <v>490</v>
      </c>
      <c r="B129" s="3">
        <v>45687</v>
      </c>
      <c r="C129" s="3">
        <v>45683</v>
      </c>
      <c r="D129">
        <f t="shared" si="10"/>
        <v>-4</v>
      </c>
      <c r="E129" t="s">
        <v>491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492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>
        <v>1</v>
      </c>
      <c r="X129" t="s">
        <v>2765</v>
      </c>
      <c r="Y129">
        <f t="shared" si="11"/>
        <v>0.05</v>
      </c>
      <c r="Z129">
        <f t="shared" si="12"/>
        <v>5774.67</v>
      </c>
      <c r="AA129">
        <f t="shared" si="13"/>
        <v>2256.31</v>
      </c>
      <c r="AB129" s="7">
        <f t="shared" si="14"/>
        <v>0.39072535746631409</v>
      </c>
      <c r="AC129" t="str">
        <f t="shared" si="15"/>
        <v>January</v>
      </c>
      <c r="AD129">
        <f t="shared" si="16"/>
        <v>2025</v>
      </c>
      <c r="AE129" t="str">
        <f t="shared" si="17"/>
        <v>Invalid</v>
      </c>
      <c r="AF129" t="str">
        <f t="shared" si="18"/>
        <v>Match</v>
      </c>
      <c r="AG129" t="str">
        <f t="shared" si="19"/>
        <v>Match</v>
      </c>
    </row>
    <row r="130" spans="1:33">
      <c r="A130" t="s">
        <v>493</v>
      </c>
      <c r="B130" s="3">
        <v>45639</v>
      </c>
      <c r="C130" s="3">
        <v>45642</v>
      </c>
      <c r="D130">
        <f t="shared" ref="D130:D193" si="20">C130-B130</f>
        <v>3</v>
      </c>
      <c r="E130" t="s">
        <v>494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495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>
        <v>1</v>
      </c>
      <c r="X130" t="s">
        <v>2765</v>
      </c>
      <c r="Y130">
        <f t="shared" si="11"/>
        <v>0.05</v>
      </c>
      <c r="Z130">
        <f t="shared" si="12"/>
        <v>4386.3874999999998</v>
      </c>
      <c r="AA130">
        <f t="shared" si="13"/>
        <v>1019.5074999999997</v>
      </c>
      <c r="AB130" s="7">
        <f t="shared" si="14"/>
        <v>0.2324253158208206</v>
      </c>
      <c r="AC130" t="str">
        <f t="shared" si="15"/>
        <v>December</v>
      </c>
      <c r="AD130">
        <f t="shared" si="16"/>
        <v>2024</v>
      </c>
      <c r="AE130" t="str">
        <f t="shared" si="17"/>
        <v>Clean</v>
      </c>
      <c r="AF130" t="str">
        <f t="shared" si="18"/>
        <v>Match</v>
      </c>
      <c r="AG130" t="str">
        <f t="shared" si="19"/>
        <v>Match</v>
      </c>
    </row>
    <row r="131" spans="1:33">
      <c r="A131" t="s">
        <v>496</v>
      </c>
      <c r="B131" s="3">
        <v>45492</v>
      </c>
      <c r="C131" s="3">
        <v>45498</v>
      </c>
      <c r="D131">
        <f t="shared" si="20"/>
        <v>6</v>
      </c>
      <c r="E131" t="s">
        <v>497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498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>
        <v>1</v>
      </c>
      <c r="X131" t="s">
        <v>2765</v>
      </c>
      <c r="Y131">
        <f t="shared" ref="Y131:Y194" si="21">IF(
Q131="",
0,
IF(Q131&gt;1,
Q131/100,
Q131)
)</f>
        <v>0.05</v>
      </c>
      <c r="Z131">
        <f t="shared" ref="Z131:Z194" si="22">O131*P131*(1-Y131)</f>
        <v>18229.5785</v>
      </c>
      <c r="AA131">
        <f t="shared" ref="AA131:AA194" si="23">Z131-S131</f>
        <v>3090.4285</v>
      </c>
      <c r="AB131" s="7">
        <f t="shared" ref="AB131:AB194" si="24">IF(Z131=0,0,
AA131/Z131)</f>
        <v>0.16952824773211295</v>
      </c>
      <c r="AC131" t="str">
        <f t="shared" ref="AC131:AC194" si="25">TEXT(B131,"mmmm")</f>
        <v>July</v>
      </c>
      <c r="AD131">
        <f t="shared" ref="AD131:AD194" si="26">YEAR(B131)</f>
        <v>2024</v>
      </c>
      <c r="AE131" t="str">
        <f t="shared" ref="AE131:AE194" si="27">IF(
OR(
Y131&lt;0,
D131&lt;0
),
"Invalid",
IF(
X131="Review Required",
"Warning",
"Clean"
)
)</f>
        <v>Clean</v>
      </c>
      <c r="AF131" t="str">
        <f t="shared" ref="AF131:AF194" si="28">IF(ABS(R131-Z131)&gt;0.01,
"Mismatch",
"Match")</f>
        <v>Match</v>
      </c>
      <c r="AG131" t="str">
        <f t="shared" ref="AG131:AG194" si="29">IF(ABS(T131-AA131)&gt;0.01,
"Mismatch",
"Match")</f>
        <v>Match</v>
      </c>
    </row>
    <row r="132" spans="1:33">
      <c r="A132" t="s">
        <v>499</v>
      </c>
      <c r="B132" s="3">
        <v>45318</v>
      </c>
      <c r="C132" s="3">
        <v>45324</v>
      </c>
      <c r="D132">
        <f t="shared" si="20"/>
        <v>6</v>
      </c>
      <c r="E132" t="s">
        <v>500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501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>
        <v>1</v>
      </c>
      <c r="X132" t="s">
        <v>2765</v>
      </c>
      <c r="Y132">
        <f t="shared" si="21"/>
        <v>0.2</v>
      </c>
      <c r="Z132">
        <f t="shared" si="22"/>
        <v>873.68</v>
      </c>
      <c r="AA132">
        <f t="shared" si="23"/>
        <v>211.95999999999992</v>
      </c>
      <c r="AB132" s="7">
        <f t="shared" si="24"/>
        <v>0.24260598846259493</v>
      </c>
      <c r="AC132" t="str">
        <f t="shared" si="25"/>
        <v>January</v>
      </c>
      <c r="AD132">
        <f t="shared" si="26"/>
        <v>2024</v>
      </c>
      <c r="AE132" t="str">
        <f t="shared" si="27"/>
        <v>Clean</v>
      </c>
      <c r="AF132" t="str">
        <f t="shared" si="28"/>
        <v>Match</v>
      </c>
      <c r="AG132" t="str">
        <f t="shared" si="29"/>
        <v>Match</v>
      </c>
    </row>
    <row r="133" spans="1:33">
      <c r="A133" t="s">
        <v>502</v>
      </c>
      <c r="B133" s="3">
        <v>45929</v>
      </c>
      <c r="C133" s="3">
        <v>45934</v>
      </c>
      <c r="D133">
        <f t="shared" si="20"/>
        <v>5</v>
      </c>
      <c r="E133" t="s">
        <v>503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504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>
        <v>1</v>
      </c>
      <c r="X133" t="s">
        <v>2765</v>
      </c>
      <c r="Y133">
        <f t="shared" si="21"/>
        <v>0.2</v>
      </c>
      <c r="Z133">
        <f t="shared" si="22"/>
        <v>2692.152</v>
      </c>
      <c r="AA133">
        <f t="shared" si="23"/>
        <v>647.66200000000003</v>
      </c>
      <c r="AB133" s="7">
        <f t="shared" si="24"/>
        <v>0.24057408348414205</v>
      </c>
      <c r="AC133" t="str">
        <f t="shared" si="25"/>
        <v>September</v>
      </c>
      <c r="AD133">
        <f t="shared" si="26"/>
        <v>2025</v>
      </c>
      <c r="AE133" t="str">
        <f t="shared" si="27"/>
        <v>Clean</v>
      </c>
      <c r="AF133" t="str">
        <f t="shared" si="28"/>
        <v>Match</v>
      </c>
      <c r="AG133" t="str">
        <f t="shared" si="29"/>
        <v>Match</v>
      </c>
    </row>
    <row r="134" spans="1:33">
      <c r="A134" t="s">
        <v>505</v>
      </c>
      <c r="B134" s="3">
        <v>45600</v>
      </c>
      <c r="C134" s="3">
        <v>45600</v>
      </c>
      <c r="D134">
        <f t="shared" si="20"/>
        <v>0</v>
      </c>
      <c r="E134" t="s">
        <v>506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507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>
        <v>1</v>
      </c>
      <c r="X134" t="s">
        <v>2765</v>
      </c>
      <c r="Y134">
        <f t="shared" si="21"/>
        <v>0</v>
      </c>
      <c r="Z134">
        <f t="shared" si="22"/>
        <v>1066.1600000000001</v>
      </c>
      <c r="AA134">
        <f t="shared" si="23"/>
        <v>409.86000000000013</v>
      </c>
      <c r="AB134" s="7">
        <f t="shared" si="24"/>
        <v>0.38442635251744589</v>
      </c>
      <c r="AC134" t="str">
        <f t="shared" si="25"/>
        <v>November</v>
      </c>
      <c r="AD134">
        <f t="shared" si="26"/>
        <v>2024</v>
      </c>
      <c r="AE134" t="str">
        <f t="shared" si="27"/>
        <v>Clean</v>
      </c>
      <c r="AF134" t="str">
        <f t="shared" si="28"/>
        <v>Match</v>
      </c>
      <c r="AG134" t="str">
        <f t="shared" si="29"/>
        <v>Match</v>
      </c>
    </row>
    <row r="135" spans="1:33">
      <c r="A135" t="s">
        <v>508</v>
      </c>
      <c r="B135" s="3">
        <v>45639</v>
      </c>
      <c r="C135" s="3">
        <v>45644</v>
      </c>
      <c r="D135">
        <f t="shared" si="20"/>
        <v>5</v>
      </c>
      <c r="E135" t="s">
        <v>509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510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>
        <v>1</v>
      </c>
      <c r="X135" t="s">
        <v>2765</v>
      </c>
      <c r="Y135">
        <f t="shared" si="21"/>
        <v>0.15</v>
      </c>
      <c r="Z135">
        <f t="shared" si="22"/>
        <v>22930.62</v>
      </c>
      <c r="AA135">
        <f t="shared" si="23"/>
        <v>6055.07</v>
      </c>
      <c r="AB135" s="7">
        <f t="shared" si="24"/>
        <v>0.26406045715292475</v>
      </c>
      <c r="AC135" t="str">
        <f t="shared" si="25"/>
        <v>December</v>
      </c>
      <c r="AD135">
        <f t="shared" si="26"/>
        <v>2024</v>
      </c>
      <c r="AE135" t="str">
        <f t="shared" si="27"/>
        <v>Clean</v>
      </c>
      <c r="AF135" t="str">
        <f t="shared" si="28"/>
        <v>Match</v>
      </c>
      <c r="AG135" t="str">
        <f t="shared" si="29"/>
        <v>Match</v>
      </c>
    </row>
    <row r="136" spans="1:33">
      <c r="A136" t="s">
        <v>511</v>
      </c>
      <c r="B136" s="3">
        <v>45852</v>
      </c>
      <c r="C136" s="3">
        <v>45852</v>
      </c>
      <c r="D136">
        <f t="shared" si="20"/>
        <v>0</v>
      </c>
      <c r="E136" t="s">
        <v>512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513</v>
      </c>
      <c r="N136" t="s">
        <v>2760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>
        <v>1</v>
      </c>
      <c r="X136" t="s">
        <v>2765</v>
      </c>
      <c r="Y136">
        <f t="shared" si="21"/>
        <v>0.25</v>
      </c>
      <c r="Z136">
        <f t="shared" si="22"/>
        <v>1436.625</v>
      </c>
      <c r="AA136">
        <f t="shared" si="23"/>
        <v>524.10500000000002</v>
      </c>
      <c r="AB136" s="7">
        <f t="shared" si="24"/>
        <v>0.36481684503610895</v>
      </c>
      <c r="AC136" t="str">
        <f t="shared" si="25"/>
        <v>July</v>
      </c>
      <c r="AD136">
        <f t="shared" si="26"/>
        <v>2025</v>
      </c>
      <c r="AE136" t="str">
        <f t="shared" si="27"/>
        <v>Clean</v>
      </c>
      <c r="AF136" t="str">
        <f t="shared" si="28"/>
        <v>Match</v>
      </c>
      <c r="AG136" t="str">
        <f t="shared" si="29"/>
        <v>Match</v>
      </c>
    </row>
    <row r="137" spans="1:33">
      <c r="A137" t="s">
        <v>514</v>
      </c>
      <c r="B137" s="3">
        <v>45893</v>
      </c>
      <c r="C137" s="3">
        <v>45893</v>
      </c>
      <c r="D137">
        <f t="shared" si="20"/>
        <v>0</v>
      </c>
      <c r="E137" t="s">
        <v>515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516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>
        <v>1</v>
      </c>
      <c r="X137" t="s">
        <v>2765</v>
      </c>
      <c r="Y137">
        <f t="shared" si="21"/>
        <v>0</v>
      </c>
      <c r="Z137">
        <f t="shared" si="22"/>
        <v>3424.78</v>
      </c>
      <c r="AA137">
        <f t="shared" si="23"/>
        <v>1473.3300000000002</v>
      </c>
      <c r="AB137" s="7">
        <f t="shared" si="24"/>
        <v>0.43019697615613267</v>
      </c>
      <c r="AC137" t="str">
        <f t="shared" si="25"/>
        <v>August</v>
      </c>
      <c r="AD137">
        <f t="shared" si="26"/>
        <v>2025</v>
      </c>
      <c r="AE137" t="str">
        <f t="shared" si="27"/>
        <v>Clean</v>
      </c>
      <c r="AF137" t="str">
        <f t="shared" si="28"/>
        <v>Match</v>
      </c>
      <c r="AG137" t="str">
        <f t="shared" si="29"/>
        <v>Match</v>
      </c>
    </row>
    <row r="138" spans="1:33">
      <c r="A138" t="s">
        <v>517</v>
      </c>
      <c r="B138" s="3">
        <v>45697</v>
      </c>
      <c r="C138" s="3">
        <v>45703</v>
      </c>
      <c r="D138">
        <f t="shared" si="20"/>
        <v>6</v>
      </c>
      <c r="E138" t="s">
        <v>518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519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>
        <v>1</v>
      </c>
      <c r="X138" t="s">
        <v>2765</v>
      </c>
      <c r="Y138">
        <f t="shared" si="21"/>
        <v>0.2</v>
      </c>
      <c r="Z138">
        <f t="shared" si="22"/>
        <v>31178.376000000004</v>
      </c>
      <c r="AA138">
        <f t="shared" si="23"/>
        <v>9757.2860000000037</v>
      </c>
      <c r="AB138" s="7">
        <f t="shared" si="24"/>
        <v>0.31295042435821552</v>
      </c>
      <c r="AC138" t="str">
        <f t="shared" si="25"/>
        <v>February</v>
      </c>
      <c r="AD138">
        <f t="shared" si="26"/>
        <v>2025</v>
      </c>
      <c r="AE138" t="str">
        <f t="shared" si="27"/>
        <v>Clean</v>
      </c>
      <c r="AF138" t="str">
        <f t="shared" si="28"/>
        <v>Match</v>
      </c>
      <c r="AG138" t="str">
        <f t="shared" si="29"/>
        <v>Match</v>
      </c>
    </row>
    <row r="139" spans="1:33">
      <c r="A139" t="s">
        <v>520</v>
      </c>
      <c r="B139" s="3">
        <v>45666</v>
      </c>
      <c r="C139" s="3">
        <v>45666</v>
      </c>
      <c r="D139">
        <f t="shared" si="20"/>
        <v>0</v>
      </c>
      <c r="E139" t="s">
        <v>521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522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>
        <v>1</v>
      </c>
      <c r="X139" t="s">
        <v>2765</v>
      </c>
      <c r="Y139">
        <f t="shared" si="21"/>
        <v>0.1</v>
      </c>
      <c r="Z139">
        <f t="shared" si="22"/>
        <v>19202.904000000002</v>
      </c>
      <c r="AA139">
        <f t="shared" si="23"/>
        <v>3676.2840000000015</v>
      </c>
      <c r="AB139" s="7">
        <f t="shared" si="24"/>
        <v>0.19144416906942829</v>
      </c>
      <c r="AC139" t="str">
        <f t="shared" si="25"/>
        <v>January</v>
      </c>
      <c r="AD139">
        <f t="shared" si="26"/>
        <v>2025</v>
      </c>
      <c r="AE139" t="str">
        <f t="shared" si="27"/>
        <v>Clean</v>
      </c>
      <c r="AF139" t="str">
        <f t="shared" si="28"/>
        <v>Match</v>
      </c>
      <c r="AG139" t="str">
        <f t="shared" si="29"/>
        <v>Match</v>
      </c>
    </row>
    <row r="140" spans="1:33">
      <c r="A140" t="s">
        <v>523</v>
      </c>
      <c r="B140" s="3">
        <v>45311</v>
      </c>
      <c r="C140" s="3">
        <v>45317</v>
      </c>
      <c r="D140">
        <f t="shared" si="20"/>
        <v>6</v>
      </c>
      <c r="E140" t="s">
        <v>524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525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>
        <v>1</v>
      </c>
      <c r="X140" t="s">
        <v>2765</v>
      </c>
      <c r="Y140">
        <f t="shared" si="21"/>
        <v>0.25</v>
      </c>
      <c r="Z140">
        <f t="shared" si="22"/>
        <v>24018.300000000003</v>
      </c>
      <c r="AA140">
        <f t="shared" si="23"/>
        <v>9947.5200000000023</v>
      </c>
      <c r="AB140" s="7">
        <f t="shared" si="24"/>
        <v>0.41416419979765434</v>
      </c>
      <c r="AC140" t="str">
        <f t="shared" si="25"/>
        <v>January</v>
      </c>
      <c r="AD140">
        <f t="shared" si="26"/>
        <v>2024</v>
      </c>
      <c r="AE140" t="str">
        <f t="shared" si="27"/>
        <v>Clean</v>
      </c>
      <c r="AF140" t="str">
        <f t="shared" si="28"/>
        <v>Match</v>
      </c>
      <c r="AG140" t="str">
        <f t="shared" si="29"/>
        <v>Match</v>
      </c>
    </row>
    <row r="141" spans="1:33">
      <c r="A141" t="s">
        <v>526</v>
      </c>
      <c r="B141" s="3">
        <v>45718</v>
      </c>
      <c r="C141" s="3">
        <v>45723</v>
      </c>
      <c r="D141">
        <f t="shared" si="20"/>
        <v>5</v>
      </c>
      <c r="E141" t="s">
        <v>527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528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>
        <v>1</v>
      </c>
      <c r="X141" t="s">
        <v>2765</v>
      </c>
      <c r="Y141">
        <f t="shared" si="21"/>
        <v>0</v>
      </c>
      <c r="Z141">
        <f t="shared" si="22"/>
        <v>10301.040000000001</v>
      </c>
      <c r="AA141">
        <f t="shared" si="23"/>
        <v>3736.9800000000005</v>
      </c>
      <c r="AB141" s="7">
        <f t="shared" si="24"/>
        <v>0.3627769623261341</v>
      </c>
      <c r="AC141" t="str">
        <f t="shared" si="25"/>
        <v>March</v>
      </c>
      <c r="AD141">
        <f t="shared" si="26"/>
        <v>2025</v>
      </c>
      <c r="AE141" t="str">
        <f t="shared" si="27"/>
        <v>Clean</v>
      </c>
      <c r="AF141" t="str">
        <f t="shared" si="28"/>
        <v>Match</v>
      </c>
      <c r="AG141" t="str">
        <f t="shared" si="29"/>
        <v>Match</v>
      </c>
    </row>
    <row r="142" spans="1:33">
      <c r="A142" t="s">
        <v>529</v>
      </c>
      <c r="B142" s="3">
        <v>45443</v>
      </c>
      <c r="C142" s="3">
        <v>45444</v>
      </c>
      <c r="D142">
        <f t="shared" si="20"/>
        <v>1</v>
      </c>
      <c r="E142" t="s">
        <v>530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531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>
        <v>1</v>
      </c>
      <c r="X142" t="s">
        <v>2765</v>
      </c>
      <c r="Y142">
        <f t="shared" si="21"/>
        <v>0</v>
      </c>
      <c r="Z142">
        <f t="shared" si="22"/>
        <v>8743.6500000000015</v>
      </c>
      <c r="AA142">
        <f t="shared" si="23"/>
        <v>2139.8900000000012</v>
      </c>
      <c r="AB142" s="7">
        <f t="shared" si="24"/>
        <v>0.24473646589239059</v>
      </c>
      <c r="AC142" t="str">
        <f t="shared" si="25"/>
        <v>May</v>
      </c>
      <c r="AD142">
        <f t="shared" si="26"/>
        <v>2024</v>
      </c>
      <c r="AE142" t="str">
        <f t="shared" si="27"/>
        <v>Clean</v>
      </c>
      <c r="AF142" t="str">
        <f t="shared" si="28"/>
        <v>Match</v>
      </c>
      <c r="AG142" t="str">
        <f t="shared" si="29"/>
        <v>Match</v>
      </c>
    </row>
    <row r="143" spans="1:33">
      <c r="A143" t="s">
        <v>532</v>
      </c>
      <c r="B143" s="3">
        <v>45374</v>
      </c>
      <c r="C143" s="3">
        <v>45380</v>
      </c>
      <c r="D143">
        <f t="shared" si="20"/>
        <v>6</v>
      </c>
      <c r="E143" t="s">
        <v>533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534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>
        <v>1</v>
      </c>
      <c r="X143" t="s">
        <v>2765</v>
      </c>
      <c r="Y143">
        <f t="shared" si="21"/>
        <v>0.1</v>
      </c>
      <c r="Z143">
        <f t="shared" si="22"/>
        <v>3996.027</v>
      </c>
      <c r="AA143">
        <f t="shared" si="23"/>
        <v>1136.5169999999998</v>
      </c>
      <c r="AB143" s="7">
        <f t="shared" si="24"/>
        <v>0.28441174196270441</v>
      </c>
      <c r="AC143" t="str">
        <f t="shared" si="25"/>
        <v>March</v>
      </c>
      <c r="AD143">
        <f t="shared" si="26"/>
        <v>2024</v>
      </c>
      <c r="AE143" t="str">
        <f t="shared" si="27"/>
        <v>Clean</v>
      </c>
      <c r="AF143" t="str">
        <f t="shared" si="28"/>
        <v>Match</v>
      </c>
      <c r="AG143" t="str">
        <f t="shared" si="29"/>
        <v>Match</v>
      </c>
    </row>
    <row r="144" spans="1:33">
      <c r="A144" t="s">
        <v>535</v>
      </c>
      <c r="B144" s="3">
        <v>45381</v>
      </c>
      <c r="C144" s="3">
        <v>45377</v>
      </c>
      <c r="D144">
        <f t="shared" si="20"/>
        <v>-4</v>
      </c>
      <c r="E144" t="s">
        <v>536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537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>
        <v>2</v>
      </c>
      <c r="X144" t="s">
        <v>2764</v>
      </c>
      <c r="Y144">
        <f t="shared" si="21"/>
        <v>0.15</v>
      </c>
      <c r="Z144">
        <f t="shared" si="22"/>
        <v>3857.0449999999996</v>
      </c>
      <c r="AA144">
        <f t="shared" si="23"/>
        <v>1087.7849999999994</v>
      </c>
      <c r="AB144" s="7">
        <f t="shared" si="24"/>
        <v>0.28202548842442843</v>
      </c>
      <c r="AC144" t="str">
        <f t="shared" si="25"/>
        <v>March</v>
      </c>
      <c r="AD144">
        <f t="shared" si="26"/>
        <v>2024</v>
      </c>
      <c r="AE144" t="str">
        <f t="shared" si="27"/>
        <v>Invalid</v>
      </c>
      <c r="AF144" t="str">
        <f t="shared" si="28"/>
        <v>Match</v>
      </c>
      <c r="AG144" t="str">
        <f t="shared" si="29"/>
        <v>Match</v>
      </c>
    </row>
    <row r="145" spans="1:33">
      <c r="A145" t="s">
        <v>538</v>
      </c>
      <c r="B145" s="3">
        <v>45375</v>
      </c>
      <c r="C145" s="3">
        <v>45377</v>
      </c>
      <c r="D145">
        <f t="shared" si="20"/>
        <v>2</v>
      </c>
      <c r="E145" t="s">
        <v>539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540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>
        <v>1</v>
      </c>
      <c r="X145" t="s">
        <v>2765</v>
      </c>
      <c r="Y145">
        <f t="shared" si="21"/>
        <v>0.1</v>
      </c>
      <c r="Z145">
        <f t="shared" si="22"/>
        <v>3068.55</v>
      </c>
      <c r="AA145">
        <f t="shared" si="23"/>
        <v>1152.3900000000001</v>
      </c>
      <c r="AB145" s="7">
        <f t="shared" si="24"/>
        <v>0.3755487119323459</v>
      </c>
      <c r="AC145" t="str">
        <f t="shared" si="25"/>
        <v>March</v>
      </c>
      <c r="AD145">
        <f t="shared" si="26"/>
        <v>2024</v>
      </c>
      <c r="AE145" t="str">
        <f t="shared" si="27"/>
        <v>Clean</v>
      </c>
      <c r="AF145" t="str">
        <f t="shared" si="28"/>
        <v>Match</v>
      </c>
      <c r="AG145" t="str">
        <f t="shared" si="29"/>
        <v>Match</v>
      </c>
    </row>
    <row r="146" spans="1:33">
      <c r="A146" t="s">
        <v>541</v>
      </c>
      <c r="B146" s="3">
        <v>45450</v>
      </c>
      <c r="C146" s="3">
        <v>45458</v>
      </c>
      <c r="D146">
        <f t="shared" si="20"/>
        <v>8</v>
      </c>
      <c r="E146" t="s">
        <v>542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543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>
        <v>1</v>
      </c>
      <c r="X146" t="s">
        <v>2765</v>
      </c>
      <c r="Y146">
        <f t="shared" si="21"/>
        <v>0.25</v>
      </c>
      <c r="Z146">
        <f t="shared" si="22"/>
        <v>11276.947499999998</v>
      </c>
      <c r="AA146">
        <f t="shared" si="23"/>
        <v>4368.1874999999982</v>
      </c>
      <c r="AB146" s="7">
        <f t="shared" si="24"/>
        <v>0.38735548782150481</v>
      </c>
      <c r="AC146" t="str">
        <f t="shared" si="25"/>
        <v>June</v>
      </c>
      <c r="AD146">
        <f t="shared" si="26"/>
        <v>2024</v>
      </c>
      <c r="AE146" t="str">
        <f t="shared" si="27"/>
        <v>Clean</v>
      </c>
      <c r="AF146" t="str">
        <f t="shared" si="28"/>
        <v>Match</v>
      </c>
      <c r="AG146" t="str">
        <f t="shared" si="29"/>
        <v>Match</v>
      </c>
    </row>
    <row r="147" spans="1:33">
      <c r="A147" t="s">
        <v>544</v>
      </c>
      <c r="B147" s="3">
        <v>45758</v>
      </c>
      <c r="C147" s="3">
        <v>45760</v>
      </c>
      <c r="D147">
        <f t="shared" si="20"/>
        <v>2</v>
      </c>
      <c r="E147" t="s">
        <v>545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546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>
        <v>1</v>
      </c>
      <c r="X147" t="s">
        <v>2765</v>
      </c>
      <c r="Y147">
        <f t="shared" si="21"/>
        <v>0.1</v>
      </c>
      <c r="Z147">
        <f t="shared" si="22"/>
        <v>15055.74</v>
      </c>
      <c r="AA147">
        <f t="shared" si="23"/>
        <v>5246.91</v>
      </c>
      <c r="AB147" s="7">
        <f t="shared" si="24"/>
        <v>0.34849897779850075</v>
      </c>
      <c r="AC147" t="str">
        <f t="shared" si="25"/>
        <v>April</v>
      </c>
      <c r="AD147">
        <f t="shared" si="26"/>
        <v>2025</v>
      </c>
      <c r="AE147" t="str">
        <f t="shared" si="27"/>
        <v>Clean</v>
      </c>
      <c r="AF147" t="str">
        <f t="shared" si="28"/>
        <v>Match</v>
      </c>
      <c r="AG147" t="str">
        <f t="shared" si="29"/>
        <v>Match</v>
      </c>
    </row>
    <row r="148" spans="1:33">
      <c r="A148" t="s">
        <v>547</v>
      </c>
      <c r="B148" s="3">
        <v>45868</v>
      </c>
      <c r="C148" s="3">
        <v>45870</v>
      </c>
      <c r="D148">
        <f t="shared" si="20"/>
        <v>2</v>
      </c>
      <c r="E148" t="s">
        <v>548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549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>
        <v>1</v>
      </c>
      <c r="X148" t="s">
        <v>2765</v>
      </c>
      <c r="Y148">
        <f t="shared" si="21"/>
        <v>0.1</v>
      </c>
      <c r="Z148">
        <f t="shared" si="22"/>
        <v>25639.983</v>
      </c>
      <c r="AA148">
        <f t="shared" si="23"/>
        <v>4004.9029999999984</v>
      </c>
      <c r="AB148" s="7">
        <f t="shared" si="24"/>
        <v>0.1561975684617263</v>
      </c>
      <c r="AC148" t="str">
        <f t="shared" si="25"/>
        <v>July</v>
      </c>
      <c r="AD148">
        <f t="shared" si="26"/>
        <v>2025</v>
      </c>
      <c r="AE148" t="str">
        <f t="shared" si="27"/>
        <v>Clean</v>
      </c>
      <c r="AF148" t="str">
        <f t="shared" si="28"/>
        <v>Match</v>
      </c>
      <c r="AG148" t="str">
        <f t="shared" si="29"/>
        <v>Match</v>
      </c>
    </row>
    <row r="149" spans="1:33">
      <c r="A149" t="s">
        <v>550</v>
      </c>
      <c r="B149" s="3">
        <v>45649</v>
      </c>
      <c r="C149" s="3">
        <v>45656</v>
      </c>
      <c r="D149">
        <f t="shared" si="20"/>
        <v>7</v>
      </c>
      <c r="E149" t="s">
        <v>551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552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>
        <v>1</v>
      </c>
      <c r="X149" t="s">
        <v>2765</v>
      </c>
      <c r="Y149">
        <f t="shared" si="21"/>
        <v>0.1</v>
      </c>
      <c r="Z149">
        <f t="shared" si="22"/>
        <v>2779.92</v>
      </c>
      <c r="AA149">
        <f t="shared" si="23"/>
        <v>1035.8700000000001</v>
      </c>
      <c r="AB149" s="7">
        <f t="shared" si="24"/>
        <v>0.37262583095916435</v>
      </c>
      <c r="AC149" t="str">
        <f t="shared" si="25"/>
        <v>December</v>
      </c>
      <c r="AD149">
        <f t="shared" si="26"/>
        <v>2024</v>
      </c>
      <c r="AE149" t="str">
        <f t="shared" si="27"/>
        <v>Clean</v>
      </c>
      <c r="AF149" t="str">
        <f t="shared" si="28"/>
        <v>Match</v>
      </c>
      <c r="AG149" t="str">
        <f t="shared" si="29"/>
        <v>Match</v>
      </c>
    </row>
    <row r="150" spans="1:33">
      <c r="A150" t="s">
        <v>553</v>
      </c>
      <c r="B150" s="3">
        <v>45697</v>
      </c>
      <c r="C150" s="3">
        <v>45701</v>
      </c>
      <c r="D150">
        <f t="shared" si="20"/>
        <v>4</v>
      </c>
      <c r="E150" t="s">
        <v>554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555</v>
      </c>
      <c r="N150" t="s">
        <v>2760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>
        <v>1</v>
      </c>
      <c r="X150" t="s">
        <v>2765</v>
      </c>
      <c r="Y150">
        <f t="shared" si="21"/>
        <v>0.25</v>
      </c>
      <c r="Z150">
        <f t="shared" si="22"/>
        <v>10176.42</v>
      </c>
      <c r="AA150">
        <f t="shared" si="23"/>
        <v>2571.9499999999998</v>
      </c>
      <c r="AB150" s="7">
        <f t="shared" si="24"/>
        <v>0.252736227474888</v>
      </c>
      <c r="AC150" t="str">
        <f t="shared" si="25"/>
        <v>February</v>
      </c>
      <c r="AD150">
        <f t="shared" si="26"/>
        <v>2025</v>
      </c>
      <c r="AE150" t="str">
        <f t="shared" si="27"/>
        <v>Clean</v>
      </c>
      <c r="AF150" t="str">
        <f t="shared" si="28"/>
        <v>Match</v>
      </c>
      <c r="AG150" t="str">
        <f t="shared" si="29"/>
        <v>Match</v>
      </c>
    </row>
    <row r="151" spans="1:33">
      <c r="A151" t="s">
        <v>556</v>
      </c>
      <c r="B151" s="3">
        <v>45321</v>
      </c>
      <c r="C151" s="3">
        <v>45321</v>
      </c>
      <c r="D151">
        <f t="shared" si="20"/>
        <v>0</v>
      </c>
      <c r="E151" t="s">
        <v>557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558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>
        <v>1</v>
      </c>
      <c r="X151" t="s">
        <v>2765</v>
      </c>
      <c r="Y151">
        <f t="shared" si="21"/>
        <v>0.25</v>
      </c>
      <c r="Z151">
        <f t="shared" si="22"/>
        <v>13269.952499999999</v>
      </c>
      <c r="AA151">
        <f t="shared" si="23"/>
        <v>4292.8524999999991</v>
      </c>
      <c r="AB151" s="7">
        <f t="shared" si="24"/>
        <v>0.32350172315989822</v>
      </c>
      <c r="AC151" t="str">
        <f t="shared" si="25"/>
        <v>January</v>
      </c>
      <c r="AD151">
        <f t="shared" si="26"/>
        <v>2024</v>
      </c>
      <c r="AE151" t="str">
        <f t="shared" si="27"/>
        <v>Clean</v>
      </c>
      <c r="AF151" t="str">
        <f t="shared" si="28"/>
        <v>Match</v>
      </c>
      <c r="AG151" t="str">
        <f t="shared" si="29"/>
        <v>Match</v>
      </c>
    </row>
    <row r="152" spans="1:33">
      <c r="A152" t="s">
        <v>559</v>
      </c>
      <c r="B152" s="3">
        <v>45355</v>
      </c>
      <c r="C152" s="3">
        <v>45363</v>
      </c>
      <c r="D152">
        <f t="shared" si="20"/>
        <v>8</v>
      </c>
      <c r="E152" t="s">
        <v>560</v>
      </c>
      <c r="F152" t="s">
        <v>53</v>
      </c>
      <c r="G152" t="s">
        <v>24</v>
      </c>
      <c r="H152" t="s">
        <v>2760</v>
      </c>
      <c r="I152" t="s">
        <v>180</v>
      </c>
      <c r="J152" t="s">
        <v>181</v>
      </c>
      <c r="K152" t="s">
        <v>41</v>
      </c>
      <c r="L152" t="s">
        <v>158</v>
      </c>
      <c r="M152" t="s">
        <v>561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>
        <v>1</v>
      </c>
      <c r="X152" t="s">
        <v>2765</v>
      </c>
      <c r="Y152">
        <f t="shared" si="21"/>
        <v>0.1</v>
      </c>
      <c r="Z152">
        <f t="shared" si="22"/>
        <v>1398.7079999999999</v>
      </c>
      <c r="AA152">
        <f t="shared" si="23"/>
        <v>341.78799999999978</v>
      </c>
      <c r="AB152" s="7">
        <f t="shared" si="24"/>
        <v>0.24435979489643286</v>
      </c>
      <c r="AC152" t="str">
        <f t="shared" si="25"/>
        <v>March</v>
      </c>
      <c r="AD152">
        <f t="shared" si="26"/>
        <v>2024</v>
      </c>
      <c r="AE152" t="str">
        <f t="shared" si="27"/>
        <v>Clean</v>
      </c>
      <c r="AF152" t="str">
        <f t="shared" si="28"/>
        <v>Match</v>
      </c>
      <c r="AG152" t="str">
        <f t="shared" si="29"/>
        <v>Match</v>
      </c>
    </row>
    <row r="153" spans="1:33">
      <c r="A153" t="s">
        <v>562</v>
      </c>
      <c r="B153" s="3">
        <v>45470</v>
      </c>
      <c r="C153" s="3">
        <v>45470</v>
      </c>
      <c r="D153">
        <f t="shared" si="20"/>
        <v>0</v>
      </c>
      <c r="E153" t="s">
        <v>563</v>
      </c>
      <c r="F153" t="s">
        <v>79</v>
      </c>
      <c r="G153" t="s">
        <v>95</v>
      </c>
      <c r="H153" t="s">
        <v>2760</v>
      </c>
      <c r="I153" t="s">
        <v>72</v>
      </c>
      <c r="J153" t="s">
        <v>73</v>
      </c>
      <c r="K153" t="s">
        <v>74</v>
      </c>
      <c r="L153" t="s">
        <v>80</v>
      </c>
      <c r="M153" t="s">
        <v>564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>
        <v>1</v>
      </c>
      <c r="X153" t="s">
        <v>2765</v>
      </c>
      <c r="Y153">
        <f t="shared" si="21"/>
        <v>0</v>
      </c>
      <c r="Z153">
        <f t="shared" si="22"/>
        <v>7718.22</v>
      </c>
      <c r="AA153">
        <f t="shared" si="23"/>
        <v>2362.29</v>
      </c>
      <c r="AB153" s="7">
        <f t="shared" si="24"/>
        <v>0.30606668376905555</v>
      </c>
      <c r="AC153" t="str">
        <f t="shared" si="25"/>
        <v>June</v>
      </c>
      <c r="AD153">
        <f t="shared" si="26"/>
        <v>2024</v>
      </c>
      <c r="AE153" t="str">
        <f t="shared" si="27"/>
        <v>Clean</v>
      </c>
      <c r="AF153" t="str">
        <f t="shared" si="28"/>
        <v>Match</v>
      </c>
      <c r="AG153" t="str">
        <f t="shared" si="29"/>
        <v>Match</v>
      </c>
    </row>
    <row r="154" spans="1:33">
      <c r="A154" t="s">
        <v>565</v>
      </c>
      <c r="B154" s="3">
        <v>45457</v>
      </c>
      <c r="C154" s="3">
        <v>45460</v>
      </c>
      <c r="D154">
        <f t="shared" si="20"/>
        <v>3</v>
      </c>
      <c r="E154" t="s">
        <v>566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567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>
        <v>1</v>
      </c>
      <c r="X154" t="s">
        <v>2765</v>
      </c>
      <c r="Y154">
        <f t="shared" si="21"/>
        <v>0.1</v>
      </c>
      <c r="Z154">
        <f t="shared" si="22"/>
        <v>5875.4160000000002</v>
      </c>
      <c r="AA154">
        <f t="shared" si="23"/>
        <v>1494.866</v>
      </c>
      <c r="AB154" s="7">
        <f t="shared" si="24"/>
        <v>0.25442726098032886</v>
      </c>
      <c r="AC154" t="str">
        <f t="shared" si="25"/>
        <v>June</v>
      </c>
      <c r="AD154">
        <f t="shared" si="26"/>
        <v>2024</v>
      </c>
      <c r="AE154" t="str">
        <f t="shared" si="27"/>
        <v>Clean</v>
      </c>
      <c r="AF154" t="str">
        <f t="shared" si="28"/>
        <v>Match</v>
      </c>
      <c r="AG154" t="str">
        <f t="shared" si="29"/>
        <v>Match</v>
      </c>
    </row>
    <row r="155" spans="1:33">
      <c r="A155" t="s">
        <v>568</v>
      </c>
      <c r="B155" s="3">
        <v>45923</v>
      </c>
      <c r="C155" s="3">
        <v>45925</v>
      </c>
      <c r="D155">
        <f t="shared" si="20"/>
        <v>2</v>
      </c>
      <c r="E155" t="s">
        <v>569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570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>
        <v>1</v>
      </c>
      <c r="X155" t="s">
        <v>2765</v>
      </c>
      <c r="Y155">
        <f t="shared" si="21"/>
        <v>0</v>
      </c>
      <c r="Z155">
        <f t="shared" si="22"/>
        <v>22962.17</v>
      </c>
      <c r="AA155">
        <f t="shared" si="23"/>
        <v>7245.6699999999983</v>
      </c>
      <c r="AB155" s="7">
        <f t="shared" si="24"/>
        <v>0.31554813852523517</v>
      </c>
      <c r="AC155" t="str">
        <f t="shared" si="25"/>
        <v>September</v>
      </c>
      <c r="AD155">
        <f t="shared" si="26"/>
        <v>2025</v>
      </c>
      <c r="AE155" t="str">
        <f t="shared" si="27"/>
        <v>Clean</v>
      </c>
      <c r="AF155" t="str">
        <f t="shared" si="28"/>
        <v>Match</v>
      </c>
      <c r="AG155" t="str">
        <f t="shared" si="29"/>
        <v>Match</v>
      </c>
    </row>
    <row r="156" spans="1:33">
      <c r="A156" t="s">
        <v>571</v>
      </c>
      <c r="B156" s="3">
        <v>45334</v>
      </c>
      <c r="C156" s="3">
        <v>45333</v>
      </c>
      <c r="D156">
        <f t="shared" si="20"/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572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>
        <v>1</v>
      </c>
      <c r="X156" t="s">
        <v>2765</v>
      </c>
      <c r="Y156">
        <f t="shared" si="21"/>
        <v>0.15</v>
      </c>
      <c r="Z156">
        <f t="shared" si="22"/>
        <v>2209.252</v>
      </c>
      <c r="AA156">
        <f t="shared" si="23"/>
        <v>685.47199999999998</v>
      </c>
      <c r="AB156" s="7">
        <f t="shared" si="24"/>
        <v>0.31027334138432372</v>
      </c>
      <c r="AC156" t="str">
        <f t="shared" si="25"/>
        <v>February</v>
      </c>
      <c r="AD156">
        <f t="shared" si="26"/>
        <v>2024</v>
      </c>
      <c r="AE156" t="str">
        <f t="shared" si="27"/>
        <v>Invalid</v>
      </c>
      <c r="AF156" t="str">
        <f t="shared" si="28"/>
        <v>Match</v>
      </c>
      <c r="AG156" t="str">
        <f t="shared" si="29"/>
        <v>Match</v>
      </c>
    </row>
    <row r="157" spans="1:33">
      <c r="A157" t="s">
        <v>573</v>
      </c>
      <c r="B157" s="3">
        <v>45683</v>
      </c>
      <c r="C157" s="3">
        <v>45691</v>
      </c>
      <c r="D157">
        <f t="shared" si="20"/>
        <v>8</v>
      </c>
      <c r="E157" t="s">
        <v>574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575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>
        <v>1</v>
      </c>
      <c r="X157" t="s">
        <v>2765</v>
      </c>
      <c r="Y157">
        <f t="shared" si="21"/>
        <v>0.1</v>
      </c>
      <c r="Z157">
        <f t="shared" si="22"/>
        <v>7720.1640000000007</v>
      </c>
      <c r="AA157">
        <f t="shared" si="23"/>
        <v>1839.1640000000007</v>
      </c>
      <c r="AB157" s="7">
        <f t="shared" si="24"/>
        <v>0.23822861794127695</v>
      </c>
      <c r="AC157" t="str">
        <f t="shared" si="25"/>
        <v>January</v>
      </c>
      <c r="AD157">
        <f t="shared" si="26"/>
        <v>2025</v>
      </c>
      <c r="AE157" t="str">
        <f t="shared" si="27"/>
        <v>Clean</v>
      </c>
      <c r="AF157" t="str">
        <f t="shared" si="28"/>
        <v>Match</v>
      </c>
      <c r="AG157" t="str">
        <f t="shared" si="29"/>
        <v>Match</v>
      </c>
    </row>
    <row r="158" spans="1:33">
      <c r="A158" t="s">
        <v>576</v>
      </c>
      <c r="B158" s="3">
        <v>45743</v>
      </c>
      <c r="C158" s="3">
        <v>45743</v>
      </c>
      <c r="D158">
        <f t="shared" si="20"/>
        <v>0</v>
      </c>
      <c r="E158" t="s">
        <v>577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578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>
        <v>1</v>
      </c>
      <c r="X158" t="s">
        <v>2765</v>
      </c>
      <c r="Y158">
        <f t="shared" si="21"/>
        <v>0.25</v>
      </c>
      <c r="Z158">
        <f t="shared" si="22"/>
        <v>12103.192500000001</v>
      </c>
      <c r="AA158">
        <f t="shared" si="23"/>
        <v>5385.3225000000011</v>
      </c>
      <c r="AB158" s="7">
        <f t="shared" si="24"/>
        <v>0.44495057812225997</v>
      </c>
      <c r="AC158" t="str">
        <f t="shared" si="25"/>
        <v>March</v>
      </c>
      <c r="AD158">
        <f t="shared" si="26"/>
        <v>2025</v>
      </c>
      <c r="AE158" t="str">
        <f t="shared" si="27"/>
        <v>Clean</v>
      </c>
      <c r="AF158" t="str">
        <f t="shared" si="28"/>
        <v>Match</v>
      </c>
      <c r="AG158" t="str">
        <f t="shared" si="29"/>
        <v>Match</v>
      </c>
    </row>
    <row r="159" spans="1:33">
      <c r="A159" t="s">
        <v>579</v>
      </c>
      <c r="B159" s="3">
        <v>45587</v>
      </c>
      <c r="C159" s="3">
        <v>45589</v>
      </c>
      <c r="D159">
        <f t="shared" si="20"/>
        <v>2</v>
      </c>
      <c r="E159" t="s">
        <v>580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581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>
        <v>1</v>
      </c>
      <c r="X159" t="s">
        <v>2765</v>
      </c>
      <c r="Y159">
        <f t="shared" si="21"/>
        <v>0.15</v>
      </c>
      <c r="Z159">
        <f t="shared" si="22"/>
        <v>2335.3919999999998</v>
      </c>
      <c r="AA159">
        <f t="shared" si="23"/>
        <v>869.24199999999973</v>
      </c>
      <c r="AB159" s="7">
        <f t="shared" si="24"/>
        <v>0.3722038955344541</v>
      </c>
      <c r="AC159" t="str">
        <f t="shared" si="25"/>
        <v>October</v>
      </c>
      <c r="AD159">
        <f t="shared" si="26"/>
        <v>2024</v>
      </c>
      <c r="AE159" t="str">
        <f t="shared" si="27"/>
        <v>Clean</v>
      </c>
      <c r="AF159" t="str">
        <f t="shared" si="28"/>
        <v>Match</v>
      </c>
      <c r="AG159" t="str">
        <f t="shared" si="29"/>
        <v>Match</v>
      </c>
    </row>
    <row r="160" spans="1:33">
      <c r="A160" t="s">
        <v>582</v>
      </c>
      <c r="B160" s="3">
        <v>45544</v>
      </c>
      <c r="C160" s="3">
        <v>45546</v>
      </c>
      <c r="D160">
        <f t="shared" si="20"/>
        <v>2</v>
      </c>
      <c r="E160" t="s">
        <v>583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584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>
        <v>1</v>
      </c>
      <c r="X160" t="s">
        <v>2765</v>
      </c>
      <c r="Y160">
        <f t="shared" si="21"/>
        <v>0.05</v>
      </c>
      <c r="Z160">
        <f t="shared" si="22"/>
        <v>3989.5629999999996</v>
      </c>
      <c r="AA160">
        <f t="shared" si="23"/>
        <v>1608.1829999999995</v>
      </c>
      <c r="AB160" s="7">
        <f t="shared" si="24"/>
        <v>0.40309753223598666</v>
      </c>
      <c r="AC160" t="str">
        <f t="shared" si="25"/>
        <v>September</v>
      </c>
      <c r="AD160">
        <f t="shared" si="26"/>
        <v>2024</v>
      </c>
      <c r="AE160" t="str">
        <f t="shared" si="27"/>
        <v>Clean</v>
      </c>
      <c r="AF160" t="str">
        <f t="shared" si="28"/>
        <v>Match</v>
      </c>
      <c r="AG160" t="str">
        <f t="shared" si="29"/>
        <v>Match</v>
      </c>
    </row>
    <row r="161" spans="1:33">
      <c r="A161" t="s">
        <v>585</v>
      </c>
      <c r="B161" s="3">
        <v>45687</v>
      </c>
      <c r="C161" s="3">
        <v>45692</v>
      </c>
      <c r="D161">
        <f t="shared" si="20"/>
        <v>5</v>
      </c>
      <c r="E161" t="s">
        <v>586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587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>
        <v>1</v>
      </c>
      <c r="X161" t="s">
        <v>2765</v>
      </c>
      <c r="Y161">
        <f t="shared" si="21"/>
        <v>0.15</v>
      </c>
      <c r="Z161">
        <f t="shared" si="22"/>
        <v>33893.324999999997</v>
      </c>
      <c r="AA161">
        <f t="shared" si="23"/>
        <v>8142.9749999999985</v>
      </c>
      <c r="AB161" s="7">
        <f t="shared" si="24"/>
        <v>0.24025305867748292</v>
      </c>
      <c r="AC161" t="str">
        <f t="shared" si="25"/>
        <v>January</v>
      </c>
      <c r="AD161">
        <f t="shared" si="26"/>
        <v>2025</v>
      </c>
      <c r="AE161" t="str">
        <f t="shared" si="27"/>
        <v>Clean</v>
      </c>
      <c r="AF161" t="str">
        <f t="shared" si="28"/>
        <v>Match</v>
      </c>
      <c r="AG161" t="str">
        <f t="shared" si="29"/>
        <v>Match</v>
      </c>
    </row>
    <row r="162" spans="1:33">
      <c r="A162" t="s">
        <v>588</v>
      </c>
      <c r="B162" s="3">
        <v>45938</v>
      </c>
      <c r="C162" s="3">
        <v>45936</v>
      </c>
      <c r="D162">
        <f t="shared" si="20"/>
        <v>-2</v>
      </c>
      <c r="E162" t="s">
        <v>589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590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>
        <v>1</v>
      </c>
      <c r="X162" t="s">
        <v>2765</v>
      </c>
      <c r="Y162">
        <f t="shared" si="21"/>
        <v>0.05</v>
      </c>
      <c r="Z162">
        <f t="shared" si="22"/>
        <v>4789.5960000000005</v>
      </c>
      <c r="AA162">
        <f t="shared" si="23"/>
        <v>751.95600000000059</v>
      </c>
      <c r="AB162" s="7">
        <f t="shared" si="24"/>
        <v>0.1569977927157114</v>
      </c>
      <c r="AC162" t="str">
        <f t="shared" si="25"/>
        <v>October</v>
      </c>
      <c r="AD162">
        <f t="shared" si="26"/>
        <v>2025</v>
      </c>
      <c r="AE162" t="str">
        <f t="shared" si="27"/>
        <v>Invalid</v>
      </c>
      <c r="AF162" t="str">
        <f t="shared" si="28"/>
        <v>Match</v>
      </c>
      <c r="AG162" t="str">
        <f t="shared" si="29"/>
        <v>Match</v>
      </c>
    </row>
    <row r="163" spans="1:33">
      <c r="A163" t="s">
        <v>591</v>
      </c>
      <c r="B163" s="3">
        <v>45862</v>
      </c>
      <c r="C163" s="3">
        <v>45868</v>
      </c>
      <c r="D163">
        <f t="shared" si="20"/>
        <v>6</v>
      </c>
      <c r="E163" t="s">
        <v>592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593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>
        <v>1</v>
      </c>
      <c r="X163" t="s">
        <v>2765</v>
      </c>
      <c r="Y163">
        <f t="shared" si="21"/>
        <v>0</v>
      </c>
      <c r="Z163">
        <f t="shared" si="22"/>
        <v>1643.41</v>
      </c>
      <c r="AA163">
        <f t="shared" si="23"/>
        <v>736.0100000000001</v>
      </c>
      <c r="AB163" s="7">
        <f t="shared" si="24"/>
        <v>0.44785537388722235</v>
      </c>
      <c r="AC163" t="str">
        <f t="shared" si="25"/>
        <v>July</v>
      </c>
      <c r="AD163">
        <f t="shared" si="26"/>
        <v>2025</v>
      </c>
      <c r="AE163" t="str">
        <f t="shared" si="27"/>
        <v>Clean</v>
      </c>
      <c r="AF163" t="str">
        <f t="shared" si="28"/>
        <v>Match</v>
      </c>
      <c r="AG163" t="str">
        <f t="shared" si="29"/>
        <v>Match</v>
      </c>
    </row>
    <row r="164" spans="1:33">
      <c r="A164" t="s">
        <v>594</v>
      </c>
      <c r="B164" s="3">
        <v>45360</v>
      </c>
      <c r="C164" s="3">
        <v>45365</v>
      </c>
      <c r="D164">
        <f t="shared" si="20"/>
        <v>5</v>
      </c>
      <c r="E164" t="s">
        <v>595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596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>
        <v>1</v>
      </c>
      <c r="X164" t="s">
        <v>2765</v>
      </c>
      <c r="Y164">
        <f t="shared" si="21"/>
        <v>0</v>
      </c>
      <c r="Z164">
        <f t="shared" si="22"/>
        <v>35782.720000000001</v>
      </c>
      <c r="AA164">
        <f t="shared" si="23"/>
        <v>9358.3100000000013</v>
      </c>
      <c r="AB164" s="7">
        <f t="shared" si="24"/>
        <v>0.2615315437171909</v>
      </c>
      <c r="AC164" t="str">
        <f t="shared" si="25"/>
        <v>March</v>
      </c>
      <c r="AD164">
        <f t="shared" si="26"/>
        <v>2024</v>
      </c>
      <c r="AE164" t="str">
        <f t="shared" si="27"/>
        <v>Clean</v>
      </c>
      <c r="AF164" t="str">
        <f t="shared" si="28"/>
        <v>Mismatch</v>
      </c>
      <c r="AG164" t="str">
        <f t="shared" si="29"/>
        <v>Match</v>
      </c>
    </row>
    <row r="165" spans="1:33">
      <c r="A165" t="s">
        <v>597</v>
      </c>
      <c r="B165" s="3">
        <v>45921</v>
      </c>
      <c r="C165" s="3">
        <v>45926</v>
      </c>
      <c r="D165">
        <f t="shared" si="20"/>
        <v>5</v>
      </c>
      <c r="E165" t="s">
        <v>598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599</v>
      </c>
      <c r="N165" t="s">
        <v>2760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>
        <v>1</v>
      </c>
      <c r="X165" t="s">
        <v>2765</v>
      </c>
      <c r="Y165">
        <f t="shared" si="21"/>
        <v>0.1</v>
      </c>
      <c r="Z165">
        <f t="shared" si="22"/>
        <v>15679.332</v>
      </c>
      <c r="AA165">
        <f t="shared" si="23"/>
        <v>3201.5120000000006</v>
      </c>
      <c r="AB165" s="7">
        <f t="shared" si="24"/>
        <v>0.20418675999717339</v>
      </c>
      <c r="AC165" t="str">
        <f t="shared" si="25"/>
        <v>September</v>
      </c>
      <c r="AD165">
        <f t="shared" si="26"/>
        <v>2025</v>
      </c>
      <c r="AE165" t="str">
        <f t="shared" si="27"/>
        <v>Clean</v>
      </c>
      <c r="AF165" t="str">
        <f t="shared" si="28"/>
        <v>Match</v>
      </c>
      <c r="AG165" t="str">
        <f t="shared" si="29"/>
        <v>Match</v>
      </c>
    </row>
    <row r="166" spans="1:33">
      <c r="A166" t="s">
        <v>600</v>
      </c>
      <c r="B166" s="3">
        <v>45909</v>
      </c>
      <c r="C166" s="3">
        <v>45914</v>
      </c>
      <c r="D166">
        <f t="shared" si="20"/>
        <v>5</v>
      </c>
      <c r="E166" t="s">
        <v>601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602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>
        <v>1</v>
      </c>
      <c r="X166" t="s">
        <v>2765</v>
      </c>
      <c r="Y166">
        <f t="shared" si="21"/>
        <v>0.25</v>
      </c>
      <c r="Z166">
        <f t="shared" si="22"/>
        <v>2365.8150000000001</v>
      </c>
      <c r="AA166">
        <f t="shared" si="23"/>
        <v>817.82500000000005</v>
      </c>
      <c r="AB166" s="7">
        <f t="shared" si="24"/>
        <v>0.34568425679945392</v>
      </c>
      <c r="AC166" t="str">
        <f t="shared" si="25"/>
        <v>September</v>
      </c>
      <c r="AD166">
        <f t="shared" si="26"/>
        <v>2025</v>
      </c>
      <c r="AE166" t="str">
        <f t="shared" si="27"/>
        <v>Clean</v>
      </c>
      <c r="AF166" t="str">
        <f t="shared" si="28"/>
        <v>Match</v>
      </c>
      <c r="AG166" t="str">
        <f t="shared" si="29"/>
        <v>Match</v>
      </c>
    </row>
    <row r="167" spans="1:33">
      <c r="A167" t="s">
        <v>603</v>
      </c>
      <c r="B167" s="3">
        <v>45618</v>
      </c>
      <c r="C167" s="3">
        <v>45625</v>
      </c>
      <c r="D167">
        <f t="shared" si="20"/>
        <v>7</v>
      </c>
      <c r="E167" t="s">
        <v>604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605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>
        <v>1</v>
      </c>
      <c r="X167" t="s">
        <v>2765</v>
      </c>
      <c r="Y167">
        <f t="shared" si="21"/>
        <v>0.25</v>
      </c>
      <c r="Z167">
        <f t="shared" si="22"/>
        <v>10268.969999999999</v>
      </c>
      <c r="AA167">
        <f t="shared" si="23"/>
        <v>3798.0499999999993</v>
      </c>
      <c r="AB167" s="7">
        <f t="shared" si="24"/>
        <v>0.36985695741637181</v>
      </c>
      <c r="AC167" t="str">
        <f t="shared" si="25"/>
        <v>November</v>
      </c>
      <c r="AD167">
        <f t="shared" si="26"/>
        <v>2024</v>
      </c>
      <c r="AE167" t="str">
        <f t="shared" si="27"/>
        <v>Clean</v>
      </c>
      <c r="AF167" t="str">
        <f t="shared" si="28"/>
        <v>Match</v>
      </c>
      <c r="AG167" t="str">
        <f t="shared" si="29"/>
        <v>Match</v>
      </c>
    </row>
    <row r="168" spans="1:33">
      <c r="A168" t="s">
        <v>606</v>
      </c>
      <c r="B168" s="3">
        <v>45708</v>
      </c>
      <c r="C168" s="3">
        <v>45714</v>
      </c>
      <c r="D168">
        <f t="shared" si="20"/>
        <v>6</v>
      </c>
      <c r="E168" t="s">
        <v>607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608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>
        <v>1</v>
      </c>
      <c r="X168" t="s">
        <v>2765</v>
      </c>
      <c r="Y168">
        <f t="shared" si="21"/>
        <v>0.2</v>
      </c>
      <c r="Z168">
        <f t="shared" si="22"/>
        <v>2046.28</v>
      </c>
      <c r="AA168">
        <f t="shared" si="23"/>
        <v>596.74</v>
      </c>
      <c r="AB168" s="7">
        <f t="shared" si="24"/>
        <v>0.29162186992982386</v>
      </c>
      <c r="AC168" t="str">
        <f t="shared" si="25"/>
        <v>February</v>
      </c>
      <c r="AD168">
        <f t="shared" si="26"/>
        <v>2025</v>
      </c>
      <c r="AE168" t="str">
        <f t="shared" si="27"/>
        <v>Clean</v>
      </c>
      <c r="AF168" t="str">
        <f t="shared" si="28"/>
        <v>Match</v>
      </c>
      <c r="AG168" t="str">
        <f t="shared" si="29"/>
        <v>Match</v>
      </c>
    </row>
    <row r="169" spans="1:33">
      <c r="A169" t="s">
        <v>609</v>
      </c>
      <c r="B169" s="3">
        <v>45887</v>
      </c>
      <c r="C169" s="3">
        <v>45887</v>
      </c>
      <c r="D169">
        <f t="shared" si="20"/>
        <v>0</v>
      </c>
      <c r="E169" t="s">
        <v>610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611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>
        <v>1</v>
      </c>
      <c r="X169" t="s">
        <v>2765</v>
      </c>
      <c r="Y169">
        <f t="shared" si="21"/>
        <v>0.15</v>
      </c>
      <c r="Z169">
        <f t="shared" si="22"/>
        <v>23186.6145</v>
      </c>
      <c r="AA169">
        <f t="shared" si="23"/>
        <v>5280.0744999999988</v>
      </c>
      <c r="AB169" s="7">
        <f t="shared" si="24"/>
        <v>0.22772080417345961</v>
      </c>
      <c r="AC169" t="str">
        <f t="shared" si="25"/>
        <v>August</v>
      </c>
      <c r="AD169">
        <f t="shared" si="26"/>
        <v>2025</v>
      </c>
      <c r="AE169" t="str">
        <f t="shared" si="27"/>
        <v>Clean</v>
      </c>
      <c r="AF169" t="str">
        <f t="shared" si="28"/>
        <v>Match</v>
      </c>
      <c r="AG169" t="str">
        <f t="shared" si="29"/>
        <v>Match</v>
      </c>
    </row>
    <row r="170" spans="1:33">
      <c r="A170" t="s">
        <v>612</v>
      </c>
      <c r="B170" s="3">
        <v>45677</v>
      </c>
      <c r="C170" s="3">
        <v>45680</v>
      </c>
      <c r="D170">
        <f t="shared" si="20"/>
        <v>3</v>
      </c>
      <c r="E170" t="s">
        <v>613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614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>
        <v>1</v>
      </c>
      <c r="X170" t="s">
        <v>2765</v>
      </c>
      <c r="Y170">
        <f t="shared" si="21"/>
        <v>0.2</v>
      </c>
      <c r="Z170">
        <f t="shared" si="22"/>
        <v>2557.08</v>
      </c>
      <c r="AA170">
        <f t="shared" si="23"/>
        <v>531.38999999999987</v>
      </c>
      <c r="AB170" s="7">
        <f t="shared" si="24"/>
        <v>0.2078112534609789</v>
      </c>
      <c r="AC170" t="str">
        <f t="shared" si="25"/>
        <v>January</v>
      </c>
      <c r="AD170">
        <f t="shared" si="26"/>
        <v>2025</v>
      </c>
      <c r="AE170" t="str">
        <f t="shared" si="27"/>
        <v>Clean</v>
      </c>
      <c r="AF170" t="str">
        <f t="shared" si="28"/>
        <v>Match</v>
      </c>
      <c r="AG170" t="str">
        <f t="shared" si="29"/>
        <v>Match</v>
      </c>
    </row>
    <row r="171" spans="1:33">
      <c r="A171" t="s">
        <v>615</v>
      </c>
      <c r="B171" s="3">
        <v>45913</v>
      </c>
      <c r="C171" s="3">
        <v>45913</v>
      </c>
      <c r="D171">
        <f t="shared" si="20"/>
        <v>0</v>
      </c>
      <c r="E171" t="s">
        <v>616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617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>
        <v>1</v>
      </c>
      <c r="X171" t="s">
        <v>2765</v>
      </c>
      <c r="Y171">
        <f t="shared" si="21"/>
        <v>0.05</v>
      </c>
      <c r="Z171">
        <f t="shared" si="22"/>
        <v>5577.6399999999994</v>
      </c>
      <c r="AA171">
        <f t="shared" si="23"/>
        <v>2036.3499999999995</v>
      </c>
      <c r="AB171" s="7">
        <f t="shared" si="24"/>
        <v>0.36509168752375548</v>
      </c>
      <c r="AC171" t="str">
        <f t="shared" si="25"/>
        <v>September</v>
      </c>
      <c r="AD171">
        <f t="shared" si="26"/>
        <v>2025</v>
      </c>
      <c r="AE171" t="str">
        <f t="shared" si="27"/>
        <v>Clean</v>
      </c>
      <c r="AF171" t="str">
        <f t="shared" si="28"/>
        <v>Match</v>
      </c>
      <c r="AG171" t="str">
        <f t="shared" si="29"/>
        <v>Match</v>
      </c>
    </row>
    <row r="172" spans="1:33">
      <c r="A172" t="s">
        <v>618</v>
      </c>
      <c r="B172" s="3">
        <v>45907</v>
      </c>
      <c r="C172" s="3">
        <v>45915</v>
      </c>
      <c r="D172">
        <f t="shared" si="20"/>
        <v>8</v>
      </c>
      <c r="E172" t="s">
        <v>619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620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>
        <v>2</v>
      </c>
      <c r="X172" t="s">
        <v>2764</v>
      </c>
      <c r="Y172">
        <f t="shared" si="21"/>
        <v>0</v>
      </c>
      <c r="Z172">
        <f t="shared" si="22"/>
        <v>5133.96</v>
      </c>
      <c r="AA172">
        <f t="shared" si="23"/>
        <v>1203.96</v>
      </c>
      <c r="AB172" s="7">
        <f t="shared" si="24"/>
        <v>0.23450903396208775</v>
      </c>
      <c r="AC172" t="str">
        <f t="shared" si="25"/>
        <v>September</v>
      </c>
      <c r="AD172">
        <f t="shared" si="26"/>
        <v>2025</v>
      </c>
      <c r="AE172" t="str">
        <f t="shared" si="27"/>
        <v>Warning</v>
      </c>
      <c r="AF172" t="str">
        <f t="shared" si="28"/>
        <v>Match</v>
      </c>
      <c r="AG172" t="str">
        <f t="shared" si="29"/>
        <v>Match</v>
      </c>
    </row>
    <row r="173" spans="1:33">
      <c r="A173" t="s">
        <v>621</v>
      </c>
      <c r="B173" s="3">
        <v>45711</v>
      </c>
      <c r="C173" s="3">
        <v>45713</v>
      </c>
      <c r="D173">
        <f t="shared" si="20"/>
        <v>2</v>
      </c>
      <c r="E173" t="s">
        <v>622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623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>
        <v>1</v>
      </c>
      <c r="X173" t="s">
        <v>2765</v>
      </c>
      <c r="Y173">
        <f t="shared" si="21"/>
        <v>0.25</v>
      </c>
      <c r="Z173">
        <f t="shared" si="22"/>
        <v>15923.512500000001</v>
      </c>
      <c r="AA173">
        <f t="shared" si="23"/>
        <v>4631.7125000000015</v>
      </c>
      <c r="AB173" s="7">
        <f t="shared" si="24"/>
        <v>0.29087253832971849</v>
      </c>
      <c r="AC173" t="str">
        <f t="shared" si="25"/>
        <v>February</v>
      </c>
      <c r="AD173">
        <f t="shared" si="26"/>
        <v>2025</v>
      </c>
      <c r="AE173" t="str">
        <f t="shared" si="27"/>
        <v>Clean</v>
      </c>
      <c r="AF173" t="str">
        <f t="shared" si="28"/>
        <v>Match</v>
      </c>
      <c r="AG173" t="str">
        <f t="shared" si="29"/>
        <v>Match</v>
      </c>
    </row>
    <row r="174" spans="1:33">
      <c r="A174" t="s">
        <v>624</v>
      </c>
      <c r="B174" s="3">
        <v>45871</v>
      </c>
      <c r="C174" s="3">
        <v>45879</v>
      </c>
      <c r="D174">
        <f t="shared" si="20"/>
        <v>8</v>
      </c>
      <c r="E174" t="s">
        <v>625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626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>
        <v>1</v>
      </c>
      <c r="X174" t="s">
        <v>2765</v>
      </c>
      <c r="Y174">
        <f t="shared" si="21"/>
        <v>0.1</v>
      </c>
      <c r="Z174">
        <f t="shared" si="22"/>
        <v>23997.221999999998</v>
      </c>
      <c r="AA174">
        <f t="shared" si="23"/>
        <v>7862.5919999999987</v>
      </c>
      <c r="AB174" s="7">
        <f t="shared" si="24"/>
        <v>0.32764592501582057</v>
      </c>
      <c r="AC174" t="str">
        <f t="shared" si="25"/>
        <v>August</v>
      </c>
      <c r="AD174">
        <f t="shared" si="26"/>
        <v>2025</v>
      </c>
      <c r="AE174" t="str">
        <f t="shared" si="27"/>
        <v>Clean</v>
      </c>
      <c r="AF174" t="str">
        <f t="shared" si="28"/>
        <v>Match</v>
      </c>
      <c r="AG174" t="str">
        <f t="shared" si="29"/>
        <v>Match</v>
      </c>
    </row>
    <row r="175" spans="1:33">
      <c r="A175" t="s">
        <v>627</v>
      </c>
      <c r="B175" s="3">
        <v>45414</v>
      </c>
      <c r="C175" s="3">
        <v>45420</v>
      </c>
      <c r="D175">
        <f t="shared" si="20"/>
        <v>6</v>
      </c>
      <c r="E175" t="s">
        <v>628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629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>
        <v>1</v>
      </c>
      <c r="X175" t="s">
        <v>2765</v>
      </c>
      <c r="Y175">
        <f t="shared" si="21"/>
        <v>0.25</v>
      </c>
      <c r="Z175">
        <f t="shared" si="22"/>
        <v>1734.1875</v>
      </c>
      <c r="AA175">
        <f t="shared" si="23"/>
        <v>348.11750000000006</v>
      </c>
      <c r="AB175" s="7">
        <f t="shared" si="24"/>
        <v>0.20073809781237614</v>
      </c>
      <c r="AC175" t="str">
        <f t="shared" si="25"/>
        <v>May</v>
      </c>
      <c r="AD175">
        <f t="shared" si="26"/>
        <v>2024</v>
      </c>
      <c r="AE175" t="str">
        <f t="shared" si="27"/>
        <v>Clean</v>
      </c>
      <c r="AF175" t="str">
        <f t="shared" si="28"/>
        <v>Match</v>
      </c>
      <c r="AG175" t="str">
        <f t="shared" si="29"/>
        <v>Match</v>
      </c>
    </row>
    <row r="176" spans="1:33">
      <c r="A176" t="s">
        <v>630</v>
      </c>
      <c r="B176" s="3">
        <v>45928</v>
      </c>
      <c r="C176" s="3">
        <v>45934</v>
      </c>
      <c r="D176">
        <f t="shared" si="20"/>
        <v>6</v>
      </c>
      <c r="E176" t="s">
        <v>631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632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>
        <v>1</v>
      </c>
      <c r="X176" t="s">
        <v>2765</v>
      </c>
      <c r="Y176">
        <f t="shared" si="21"/>
        <v>0.15</v>
      </c>
      <c r="Z176">
        <f t="shared" si="22"/>
        <v>8264.7029999999995</v>
      </c>
      <c r="AA176">
        <f t="shared" si="23"/>
        <v>3495.9529999999995</v>
      </c>
      <c r="AB176" s="7">
        <f t="shared" si="24"/>
        <v>0.42299801940856191</v>
      </c>
      <c r="AC176" t="str">
        <f t="shared" si="25"/>
        <v>September</v>
      </c>
      <c r="AD176">
        <f t="shared" si="26"/>
        <v>2025</v>
      </c>
      <c r="AE176" t="str">
        <f t="shared" si="27"/>
        <v>Clean</v>
      </c>
      <c r="AF176" t="str">
        <f t="shared" si="28"/>
        <v>Match</v>
      </c>
      <c r="AG176" t="str">
        <f t="shared" si="29"/>
        <v>Match</v>
      </c>
    </row>
    <row r="177" spans="1:33">
      <c r="A177" t="s">
        <v>633</v>
      </c>
      <c r="B177" s="3">
        <v>45318</v>
      </c>
      <c r="C177" s="3">
        <v>45325</v>
      </c>
      <c r="D177">
        <f t="shared" si="20"/>
        <v>7</v>
      </c>
      <c r="E177" t="s">
        <v>634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635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>
        <v>1</v>
      </c>
      <c r="X177" t="s">
        <v>2765</v>
      </c>
      <c r="Y177">
        <f t="shared" si="21"/>
        <v>0.15</v>
      </c>
      <c r="Z177">
        <f t="shared" si="22"/>
        <v>15906.849000000002</v>
      </c>
      <c r="AA177">
        <f t="shared" si="23"/>
        <v>4892.3890000000029</v>
      </c>
      <c r="AB177" s="7">
        <f t="shared" si="24"/>
        <v>0.30756493633654297</v>
      </c>
      <c r="AC177" t="str">
        <f t="shared" si="25"/>
        <v>January</v>
      </c>
      <c r="AD177">
        <f t="shared" si="26"/>
        <v>2024</v>
      </c>
      <c r="AE177" t="str">
        <f t="shared" si="27"/>
        <v>Clean</v>
      </c>
      <c r="AF177" t="str">
        <f t="shared" si="28"/>
        <v>Match</v>
      </c>
      <c r="AG177" t="str">
        <f t="shared" si="29"/>
        <v>Match</v>
      </c>
    </row>
    <row r="178" spans="1:33">
      <c r="A178" t="s">
        <v>636</v>
      </c>
      <c r="B178" s="3">
        <v>45734</v>
      </c>
      <c r="C178" s="3">
        <v>45742</v>
      </c>
      <c r="D178">
        <f t="shared" si="20"/>
        <v>8</v>
      </c>
      <c r="E178" t="s">
        <v>637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638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>
        <v>1</v>
      </c>
      <c r="X178" t="s">
        <v>2765</v>
      </c>
      <c r="Y178">
        <f t="shared" si="21"/>
        <v>0.15</v>
      </c>
      <c r="Z178">
        <f t="shared" si="22"/>
        <v>24229.011999999999</v>
      </c>
      <c r="AA178">
        <f t="shared" si="23"/>
        <v>10318.371999999999</v>
      </c>
      <c r="AB178" s="7">
        <f t="shared" si="24"/>
        <v>0.42586845885420338</v>
      </c>
      <c r="AC178" t="str">
        <f t="shared" si="25"/>
        <v>March</v>
      </c>
      <c r="AD178">
        <f t="shared" si="26"/>
        <v>2025</v>
      </c>
      <c r="AE178" t="str">
        <f t="shared" si="27"/>
        <v>Clean</v>
      </c>
      <c r="AF178" t="str">
        <f t="shared" si="28"/>
        <v>Match</v>
      </c>
      <c r="AG178" t="str">
        <f t="shared" si="29"/>
        <v>Match</v>
      </c>
    </row>
    <row r="179" spans="1:33">
      <c r="A179" t="s">
        <v>639</v>
      </c>
      <c r="B179" s="3">
        <v>45444</v>
      </c>
      <c r="C179" s="3">
        <v>45446</v>
      </c>
      <c r="D179">
        <f t="shared" si="20"/>
        <v>2</v>
      </c>
      <c r="E179" t="s">
        <v>640</v>
      </c>
      <c r="F179" t="s">
        <v>132</v>
      </c>
      <c r="G179" t="s">
        <v>95</v>
      </c>
      <c r="H179" t="s">
        <v>2760</v>
      </c>
      <c r="I179" t="s">
        <v>145</v>
      </c>
      <c r="J179" t="s">
        <v>146</v>
      </c>
      <c r="K179" t="s">
        <v>28</v>
      </c>
      <c r="L179" t="s">
        <v>48</v>
      </c>
      <c r="M179" t="s">
        <v>641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>
        <v>1</v>
      </c>
      <c r="X179" t="s">
        <v>2765</v>
      </c>
      <c r="Y179">
        <f t="shared" si="21"/>
        <v>0</v>
      </c>
      <c r="Z179">
        <f t="shared" si="22"/>
        <v>31039.599999999999</v>
      </c>
      <c r="AA179">
        <f t="shared" si="23"/>
        <v>10172.879999999997</v>
      </c>
      <c r="AB179" s="7">
        <f t="shared" si="24"/>
        <v>0.32773875952009685</v>
      </c>
      <c r="AC179" t="str">
        <f t="shared" si="25"/>
        <v>June</v>
      </c>
      <c r="AD179">
        <f t="shared" si="26"/>
        <v>2024</v>
      </c>
      <c r="AE179" t="str">
        <f t="shared" si="27"/>
        <v>Clean</v>
      </c>
      <c r="AF179" t="str">
        <f t="shared" si="28"/>
        <v>Match</v>
      </c>
      <c r="AG179" t="str">
        <f t="shared" si="29"/>
        <v>Match</v>
      </c>
    </row>
    <row r="180" spans="1:33">
      <c r="A180" t="s">
        <v>642</v>
      </c>
      <c r="B180" s="3">
        <v>45565</v>
      </c>
      <c r="C180" s="3">
        <v>45565</v>
      </c>
      <c r="D180">
        <f t="shared" si="20"/>
        <v>0</v>
      </c>
      <c r="E180" t="s">
        <v>643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644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>
        <v>1</v>
      </c>
      <c r="X180" t="s">
        <v>2765</v>
      </c>
      <c r="Y180">
        <f t="shared" si="21"/>
        <v>0</v>
      </c>
      <c r="Z180">
        <f t="shared" si="22"/>
        <v>13126.96</v>
      </c>
      <c r="AA180">
        <f t="shared" si="23"/>
        <v>2394.5199999999986</v>
      </c>
      <c r="AB180" s="7">
        <f t="shared" si="24"/>
        <v>0.18241237879905162</v>
      </c>
      <c r="AC180" t="str">
        <f t="shared" si="25"/>
        <v>September</v>
      </c>
      <c r="AD180">
        <f t="shared" si="26"/>
        <v>2024</v>
      </c>
      <c r="AE180" t="str">
        <f t="shared" si="27"/>
        <v>Clean</v>
      </c>
      <c r="AF180" t="str">
        <f t="shared" si="28"/>
        <v>Match</v>
      </c>
      <c r="AG180" t="str">
        <f t="shared" si="29"/>
        <v>Match</v>
      </c>
    </row>
    <row r="181" spans="1:33">
      <c r="A181" t="s">
        <v>645</v>
      </c>
      <c r="B181" s="3">
        <v>45366</v>
      </c>
      <c r="C181" s="3">
        <v>45370</v>
      </c>
      <c r="D181">
        <f t="shared" si="20"/>
        <v>4</v>
      </c>
      <c r="E181" t="s">
        <v>646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647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>
        <v>1</v>
      </c>
      <c r="X181" t="s">
        <v>2765</v>
      </c>
      <c r="Y181">
        <f t="shared" si="21"/>
        <v>0.25</v>
      </c>
      <c r="Z181">
        <f t="shared" si="22"/>
        <v>9558.9000000000015</v>
      </c>
      <c r="AA181">
        <f t="shared" si="23"/>
        <v>4042.1400000000012</v>
      </c>
      <c r="AB181" s="7">
        <f t="shared" si="24"/>
        <v>0.42286664783604816</v>
      </c>
      <c r="AC181" t="str">
        <f t="shared" si="25"/>
        <v>March</v>
      </c>
      <c r="AD181">
        <f t="shared" si="26"/>
        <v>2024</v>
      </c>
      <c r="AE181" t="str">
        <f t="shared" si="27"/>
        <v>Clean</v>
      </c>
      <c r="AF181" t="str">
        <f t="shared" si="28"/>
        <v>Match</v>
      </c>
      <c r="AG181" t="str">
        <f t="shared" si="29"/>
        <v>Match</v>
      </c>
    </row>
    <row r="182" spans="1:33">
      <c r="A182" t="s">
        <v>648</v>
      </c>
      <c r="B182" s="3">
        <v>45530</v>
      </c>
      <c r="C182" s="3">
        <v>45530</v>
      </c>
      <c r="D182">
        <f t="shared" si="20"/>
        <v>0</v>
      </c>
      <c r="E182" t="s">
        <v>649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650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>
        <v>1</v>
      </c>
      <c r="X182" t="s">
        <v>2765</v>
      </c>
      <c r="Y182">
        <f t="shared" si="21"/>
        <v>0.1</v>
      </c>
      <c r="Z182">
        <f t="shared" si="22"/>
        <v>5320.9170000000004</v>
      </c>
      <c r="AA182">
        <f t="shared" si="23"/>
        <v>2279.4170000000004</v>
      </c>
      <c r="AB182" s="7">
        <f t="shared" si="24"/>
        <v>0.42838800154183954</v>
      </c>
      <c r="AC182" t="str">
        <f t="shared" si="25"/>
        <v>August</v>
      </c>
      <c r="AD182">
        <f t="shared" si="26"/>
        <v>2024</v>
      </c>
      <c r="AE182" t="str">
        <f t="shared" si="27"/>
        <v>Clean</v>
      </c>
      <c r="AF182" t="str">
        <f t="shared" si="28"/>
        <v>Match</v>
      </c>
      <c r="AG182" t="str">
        <f t="shared" si="29"/>
        <v>Match</v>
      </c>
    </row>
    <row r="183" spans="1:33">
      <c r="A183" t="s">
        <v>651</v>
      </c>
      <c r="B183" s="3">
        <v>45909</v>
      </c>
      <c r="C183" s="3">
        <v>45910</v>
      </c>
      <c r="D183">
        <f t="shared" si="20"/>
        <v>1</v>
      </c>
      <c r="E183" t="s">
        <v>652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653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>
        <v>1</v>
      </c>
      <c r="X183" t="s">
        <v>2765</v>
      </c>
      <c r="Y183">
        <f t="shared" si="21"/>
        <v>0</v>
      </c>
      <c r="Z183">
        <f t="shared" si="22"/>
        <v>10205.799999999999</v>
      </c>
      <c r="AA183">
        <f t="shared" si="23"/>
        <v>4219.4899999999989</v>
      </c>
      <c r="AB183" s="7">
        <f t="shared" si="24"/>
        <v>0.41344039663720622</v>
      </c>
      <c r="AC183" t="str">
        <f t="shared" si="25"/>
        <v>September</v>
      </c>
      <c r="AD183">
        <f t="shared" si="26"/>
        <v>2025</v>
      </c>
      <c r="AE183" t="str">
        <f t="shared" si="27"/>
        <v>Clean</v>
      </c>
      <c r="AF183" t="str">
        <f t="shared" si="28"/>
        <v>Match</v>
      </c>
      <c r="AG183" t="str">
        <f t="shared" si="29"/>
        <v>Match</v>
      </c>
    </row>
    <row r="184" spans="1:33">
      <c r="A184" t="s">
        <v>654</v>
      </c>
      <c r="B184" s="3">
        <v>45581</v>
      </c>
      <c r="C184" s="3">
        <v>45581</v>
      </c>
      <c r="D184">
        <f t="shared" si="20"/>
        <v>0</v>
      </c>
      <c r="E184" t="s">
        <v>655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656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>
        <v>1</v>
      </c>
      <c r="X184" t="s">
        <v>2765</v>
      </c>
      <c r="Y184">
        <f t="shared" si="21"/>
        <v>0</v>
      </c>
      <c r="Z184">
        <f t="shared" si="22"/>
        <v>5430.3899999999994</v>
      </c>
      <c r="AA184">
        <f t="shared" si="23"/>
        <v>1722.7299999999996</v>
      </c>
      <c r="AB184" s="7">
        <f t="shared" si="24"/>
        <v>0.31723872502711586</v>
      </c>
      <c r="AC184" t="str">
        <f t="shared" si="25"/>
        <v>October</v>
      </c>
      <c r="AD184">
        <f t="shared" si="26"/>
        <v>2024</v>
      </c>
      <c r="AE184" t="str">
        <f t="shared" si="27"/>
        <v>Clean</v>
      </c>
      <c r="AF184" t="str">
        <f t="shared" si="28"/>
        <v>Match</v>
      </c>
      <c r="AG184" t="str">
        <f t="shared" si="29"/>
        <v>Match</v>
      </c>
    </row>
    <row r="185" spans="1:33">
      <c r="A185" t="s">
        <v>657</v>
      </c>
      <c r="B185" s="3">
        <v>45832</v>
      </c>
      <c r="C185" s="3">
        <v>45835</v>
      </c>
      <c r="D185">
        <f t="shared" si="20"/>
        <v>3</v>
      </c>
      <c r="E185" t="s">
        <v>658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659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>
        <v>1</v>
      </c>
      <c r="X185" t="s">
        <v>2765</v>
      </c>
      <c r="Y185">
        <f t="shared" si="21"/>
        <v>0.2</v>
      </c>
      <c r="Z185">
        <f t="shared" si="22"/>
        <v>12907.216</v>
      </c>
      <c r="AA185">
        <f t="shared" si="23"/>
        <v>4579.3260000000009</v>
      </c>
      <c r="AB185" s="7">
        <f t="shared" si="24"/>
        <v>0.3547880503433119</v>
      </c>
      <c r="AC185" t="str">
        <f t="shared" si="25"/>
        <v>June</v>
      </c>
      <c r="AD185">
        <f t="shared" si="26"/>
        <v>2025</v>
      </c>
      <c r="AE185" t="str">
        <f t="shared" si="27"/>
        <v>Clean</v>
      </c>
      <c r="AF185" t="str">
        <f t="shared" si="28"/>
        <v>Match</v>
      </c>
      <c r="AG185" t="str">
        <f t="shared" si="29"/>
        <v>Match</v>
      </c>
    </row>
    <row r="186" spans="1:33">
      <c r="A186" t="s">
        <v>660</v>
      </c>
      <c r="B186" s="3">
        <v>45384</v>
      </c>
      <c r="C186" s="3">
        <v>45388</v>
      </c>
      <c r="D186">
        <f t="shared" si="20"/>
        <v>4</v>
      </c>
      <c r="E186" t="s">
        <v>661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662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>
        <v>1</v>
      </c>
      <c r="X186" t="s">
        <v>2765</v>
      </c>
      <c r="Y186">
        <f t="shared" si="21"/>
        <v>0</v>
      </c>
      <c r="Z186">
        <f t="shared" si="22"/>
        <v>1777.96</v>
      </c>
      <c r="AA186">
        <f t="shared" si="23"/>
        <v>756.80000000000007</v>
      </c>
      <c r="AB186" s="7">
        <f t="shared" si="24"/>
        <v>0.42565637022205227</v>
      </c>
      <c r="AC186" t="str">
        <f t="shared" si="25"/>
        <v>April</v>
      </c>
      <c r="AD186">
        <f t="shared" si="26"/>
        <v>2024</v>
      </c>
      <c r="AE186" t="str">
        <f t="shared" si="27"/>
        <v>Clean</v>
      </c>
      <c r="AF186" t="str">
        <f t="shared" si="28"/>
        <v>Match</v>
      </c>
      <c r="AG186" t="str">
        <f t="shared" si="29"/>
        <v>Match</v>
      </c>
    </row>
    <row r="187" spans="1:33">
      <c r="A187" t="s">
        <v>663</v>
      </c>
      <c r="B187" s="3">
        <v>45601</v>
      </c>
      <c r="C187" s="3">
        <v>45609</v>
      </c>
      <c r="D187">
        <f t="shared" si="20"/>
        <v>8</v>
      </c>
      <c r="E187" t="s">
        <v>664</v>
      </c>
      <c r="F187" t="s">
        <v>53</v>
      </c>
      <c r="G187" t="s">
        <v>24</v>
      </c>
      <c r="H187" t="s">
        <v>2760</v>
      </c>
      <c r="I187" t="s">
        <v>122</v>
      </c>
      <c r="J187" t="s">
        <v>123</v>
      </c>
      <c r="K187" t="s">
        <v>28</v>
      </c>
      <c r="L187" t="s">
        <v>91</v>
      </c>
      <c r="M187" t="s">
        <v>665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>
        <v>1</v>
      </c>
      <c r="X187" t="s">
        <v>2765</v>
      </c>
      <c r="Y187">
        <f t="shared" si="21"/>
        <v>0.2</v>
      </c>
      <c r="Z187">
        <f t="shared" si="22"/>
        <v>1605.0720000000001</v>
      </c>
      <c r="AA187">
        <f t="shared" si="23"/>
        <v>267.79200000000014</v>
      </c>
      <c r="AB187" s="7">
        <f t="shared" si="24"/>
        <v>0.16684111366966722</v>
      </c>
      <c r="AC187" t="str">
        <f t="shared" si="25"/>
        <v>November</v>
      </c>
      <c r="AD187">
        <f t="shared" si="26"/>
        <v>2024</v>
      </c>
      <c r="AE187" t="str">
        <f t="shared" si="27"/>
        <v>Clean</v>
      </c>
      <c r="AF187" t="str">
        <f t="shared" si="28"/>
        <v>Match</v>
      </c>
      <c r="AG187" t="str">
        <f t="shared" si="29"/>
        <v>Match</v>
      </c>
    </row>
    <row r="188" spans="1:33">
      <c r="A188" t="s">
        <v>666</v>
      </c>
      <c r="B188" s="3">
        <v>45492</v>
      </c>
      <c r="C188" s="3">
        <v>45493</v>
      </c>
      <c r="D188">
        <f t="shared" si="20"/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667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>
        <v>1</v>
      </c>
      <c r="X188" t="s">
        <v>2765</v>
      </c>
      <c r="Y188">
        <f t="shared" si="21"/>
        <v>0.05</v>
      </c>
      <c r="Z188">
        <f t="shared" si="22"/>
        <v>23996.059499999996</v>
      </c>
      <c r="AA188">
        <f t="shared" si="23"/>
        <v>3828.7794999999969</v>
      </c>
      <c r="AB188" s="7">
        <f t="shared" si="24"/>
        <v>0.15955867670689838</v>
      </c>
      <c r="AC188" t="str">
        <f t="shared" si="25"/>
        <v>July</v>
      </c>
      <c r="AD188">
        <f t="shared" si="26"/>
        <v>2024</v>
      </c>
      <c r="AE188" t="str">
        <f t="shared" si="27"/>
        <v>Clean</v>
      </c>
      <c r="AF188" t="str">
        <f t="shared" si="28"/>
        <v>Match</v>
      </c>
      <c r="AG188" t="str">
        <f t="shared" si="29"/>
        <v>Match</v>
      </c>
    </row>
    <row r="189" spans="1:33">
      <c r="A189" t="s">
        <v>668</v>
      </c>
      <c r="B189" s="3">
        <v>45778</v>
      </c>
      <c r="C189" s="3">
        <v>45779</v>
      </c>
      <c r="D189">
        <f t="shared" si="20"/>
        <v>1</v>
      </c>
      <c r="E189" t="s">
        <v>669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670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>
        <v>1</v>
      </c>
      <c r="X189" t="s">
        <v>2765</v>
      </c>
      <c r="Y189">
        <f t="shared" si="21"/>
        <v>0</v>
      </c>
      <c r="Z189">
        <f t="shared" si="22"/>
        <v>8717.2199999999993</v>
      </c>
      <c r="AA189">
        <f t="shared" si="23"/>
        <v>2501.2599999999993</v>
      </c>
      <c r="AB189" s="7">
        <f t="shared" si="24"/>
        <v>0.28693321953558582</v>
      </c>
      <c r="AC189" t="str">
        <f t="shared" si="25"/>
        <v>May</v>
      </c>
      <c r="AD189">
        <f t="shared" si="26"/>
        <v>2025</v>
      </c>
      <c r="AE189" t="str">
        <f t="shared" si="27"/>
        <v>Clean</v>
      </c>
      <c r="AF189" t="str">
        <f t="shared" si="28"/>
        <v>Match</v>
      </c>
      <c r="AG189" t="str">
        <f t="shared" si="29"/>
        <v>Match</v>
      </c>
    </row>
    <row r="190" spans="1:33">
      <c r="A190" t="s">
        <v>671</v>
      </c>
      <c r="B190" s="3">
        <v>45798</v>
      </c>
      <c r="C190" s="3">
        <v>45805</v>
      </c>
      <c r="D190">
        <f t="shared" si="20"/>
        <v>7</v>
      </c>
      <c r="E190" t="s">
        <v>672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673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>
        <v>1</v>
      </c>
      <c r="X190" t="s">
        <v>2765</v>
      </c>
      <c r="Y190">
        <f t="shared" si="21"/>
        <v>0.1</v>
      </c>
      <c r="Z190">
        <f t="shared" si="22"/>
        <v>6407.2260000000006</v>
      </c>
      <c r="AA190">
        <f t="shared" si="23"/>
        <v>1484.1360000000004</v>
      </c>
      <c r="AB190" s="7">
        <f t="shared" si="24"/>
        <v>0.23163471992403581</v>
      </c>
      <c r="AC190" t="str">
        <f t="shared" si="25"/>
        <v>May</v>
      </c>
      <c r="AD190">
        <f t="shared" si="26"/>
        <v>2025</v>
      </c>
      <c r="AE190" t="str">
        <f t="shared" si="27"/>
        <v>Clean</v>
      </c>
      <c r="AF190" t="str">
        <f t="shared" si="28"/>
        <v>Mismatch</v>
      </c>
      <c r="AG190" t="str">
        <f t="shared" si="29"/>
        <v>Match</v>
      </c>
    </row>
    <row r="191" spans="1:33">
      <c r="A191" t="s">
        <v>674</v>
      </c>
      <c r="B191" s="3">
        <v>45783</v>
      </c>
      <c r="C191" s="3">
        <v>45784</v>
      </c>
      <c r="D191">
        <f t="shared" si="20"/>
        <v>1</v>
      </c>
      <c r="E191" t="s">
        <v>675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676</v>
      </c>
      <c r="N191" t="s">
        <v>50</v>
      </c>
      <c r="O191">
        <v>9</v>
      </c>
      <c r="P191">
        <v>3318.24</v>
      </c>
      <c r="Q191"/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>
        <v>1</v>
      </c>
      <c r="X191" t="s">
        <v>2765</v>
      </c>
      <c r="Y191">
        <f t="shared" si="21"/>
        <v>0</v>
      </c>
      <c r="Z191">
        <f t="shared" si="22"/>
        <v>29864.159999999996</v>
      </c>
      <c r="AA191">
        <f t="shared" si="23"/>
        <v>12991.769999999997</v>
      </c>
      <c r="AB191" s="7">
        <f t="shared" si="24"/>
        <v>0.43502881045373448</v>
      </c>
      <c r="AC191" t="str">
        <f t="shared" si="25"/>
        <v>May</v>
      </c>
      <c r="AD191">
        <f t="shared" si="26"/>
        <v>2025</v>
      </c>
      <c r="AE191" t="str">
        <f t="shared" si="27"/>
        <v>Clean</v>
      </c>
      <c r="AF191" t="str">
        <f t="shared" si="28"/>
        <v>Mismatch</v>
      </c>
      <c r="AG191" t="str">
        <f t="shared" si="29"/>
        <v>Mismatch</v>
      </c>
    </row>
    <row r="192" spans="1:33">
      <c r="A192" t="s">
        <v>677</v>
      </c>
      <c r="B192" s="3">
        <v>45767</v>
      </c>
      <c r="C192" s="3">
        <v>45768</v>
      </c>
      <c r="D192">
        <f t="shared" si="20"/>
        <v>1</v>
      </c>
      <c r="E192" t="s">
        <v>678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679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>
        <v>1</v>
      </c>
      <c r="X192" t="s">
        <v>2765</v>
      </c>
      <c r="Y192">
        <f t="shared" si="21"/>
        <v>0.1</v>
      </c>
      <c r="Z192">
        <f t="shared" si="22"/>
        <v>1458.2429999999999</v>
      </c>
      <c r="AA192">
        <f t="shared" si="23"/>
        <v>514.92299999999989</v>
      </c>
      <c r="AB192" s="7">
        <f t="shared" si="24"/>
        <v>0.35311192990468659</v>
      </c>
      <c r="AC192" t="str">
        <f t="shared" si="25"/>
        <v>April</v>
      </c>
      <c r="AD192">
        <f t="shared" si="26"/>
        <v>2025</v>
      </c>
      <c r="AE192" t="str">
        <f t="shared" si="27"/>
        <v>Clean</v>
      </c>
      <c r="AF192" t="str">
        <f t="shared" si="28"/>
        <v>Match</v>
      </c>
      <c r="AG192" t="str">
        <f t="shared" si="29"/>
        <v>Match</v>
      </c>
    </row>
    <row r="193" spans="1:33">
      <c r="A193" t="s">
        <v>680</v>
      </c>
      <c r="B193" s="3">
        <v>45584</v>
      </c>
      <c r="C193" s="3">
        <v>45589</v>
      </c>
      <c r="D193">
        <f t="shared" si="20"/>
        <v>5</v>
      </c>
      <c r="E193" t="s">
        <v>681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682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>
        <v>1</v>
      </c>
      <c r="X193" t="s">
        <v>2765</v>
      </c>
      <c r="Y193">
        <f t="shared" si="21"/>
        <v>0.65</v>
      </c>
      <c r="Z193">
        <f t="shared" si="22"/>
        <v>9047.64</v>
      </c>
      <c r="AA193">
        <f t="shared" si="23"/>
        <v>-10350.040000000001</v>
      </c>
      <c r="AB193" s="7">
        <f t="shared" si="24"/>
        <v>-1.1439491403283069</v>
      </c>
      <c r="AC193" t="str">
        <f t="shared" si="25"/>
        <v>October</v>
      </c>
      <c r="AD193">
        <f t="shared" si="26"/>
        <v>2024</v>
      </c>
      <c r="AE193" t="str">
        <f t="shared" si="27"/>
        <v>Clean</v>
      </c>
      <c r="AF193" t="str">
        <f t="shared" si="28"/>
        <v>Mismatch</v>
      </c>
      <c r="AG193" t="str">
        <f t="shared" si="29"/>
        <v>Mismatch</v>
      </c>
    </row>
    <row r="194" spans="1:33">
      <c r="A194" t="s">
        <v>683</v>
      </c>
      <c r="B194" s="3">
        <v>45635</v>
      </c>
      <c r="C194" s="3">
        <v>45642</v>
      </c>
      <c r="D194">
        <f t="shared" ref="D194:D257" si="30">C194-B194</f>
        <v>7</v>
      </c>
      <c r="E194" t="s">
        <v>684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685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>
        <v>1</v>
      </c>
      <c r="X194" t="s">
        <v>2765</v>
      </c>
      <c r="Y194">
        <f t="shared" si="21"/>
        <v>0</v>
      </c>
      <c r="Z194">
        <f t="shared" si="22"/>
        <v>8764.1200000000008</v>
      </c>
      <c r="AA194">
        <f t="shared" si="23"/>
        <v>1544.0700000000006</v>
      </c>
      <c r="AB194" s="7">
        <f t="shared" si="24"/>
        <v>0.17618083732308554</v>
      </c>
      <c r="AC194" t="str">
        <f t="shared" si="25"/>
        <v>December</v>
      </c>
      <c r="AD194">
        <f t="shared" si="26"/>
        <v>2024</v>
      </c>
      <c r="AE194" t="str">
        <f t="shared" si="27"/>
        <v>Clean</v>
      </c>
      <c r="AF194" t="str">
        <f t="shared" si="28"/>
        <v>Match</v>
      </c>
      <c r="AG194" t="str">
        <f t="shared" si="29"/>
        <v>Match</v>
      </c>
    </row>
    <row r="195" spans="1:33">
      <c r="A195" t="s">
        <v>686</v>
      </c>
      <c r="B195" s="3">
        <v>45466</v>
      </c>
      <c r="C195" s="3">
        <v>45471</v>
      </c>
      <c r="D195">
        <f t="shared" si="30"/>
        <v>5</v>
      </c>
      <c r="E195" t="s">
        <v>687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688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>
        <v>1</v>
      </c>
      <c r="X195" t="s">
        <v>2765</v>
      </c>
      <c r="Y195">
        <f t="shared" ref="Y195:Y258" si="31">IF(
Q195="",
0,
IF(Q195&gt;1,
Q195/100,
Q195)
)</f>
        <v>0.2</v>
      </c>
      <c r="Z195">
        <f t="shared" ref="Z195:Z258" si="32">O195*P195*(1-Y195)</f>
        <v>9391.8240000000005</v>
      </c>
      <c r="AA195">
        <f t="shared" ref="AA195:AA258" si="33">Z195-S195</f>
        <v>3378.6040000000003</v>
      </c>
      <c r="AB195" s="7">
        <f t="shared" ref="AB195:AB258" si="34">IF(Z195=0,0,
AA195/Z195)</f>
        <v>0.35973885370935399</v>
      </c>
      <c r="AC195" t="str">
        <f t="shared" ref="AC195:AC258" si="35">TEXT(B195,"mmmm")</f>
        <v>June</v>
      </c>
      <c r="AD195">
        <f t="shared" ref="AD195:AD258" si="36">YEAR(B195)</f>
        <v>2024</v>
      </c>
      <c r="AE195" t="str">
        <f t="shared" ref="AE195:AE258" si="37">IF(
OR(
Y195&lt;0,
D195&lt;0
),
"Invalid",
IF(
X195="Review Required",
"Warning",
"Clean"
)
)</f>
        <v>Clean</v>
      </c>
      <c r="AF195" t="str">
        <f t="shared" ref="AF195:AF258" si="38">IF(ABS(R195-Z195)&gt;0.01,
"Mismatch",
"Match")</f>
        <v>Match</v>
      </c>
      <c r="AG195" t="str">
        <f t="shared" ref="AG195:AG258" si="39">IF(ABS(T195-AA195)&gt;0.01,
"Mismatch",
"Match")</f>
        <v>Match</v>
      </c>
    </row>
    <row r="196" spans="1:33">
      <c r="A196" t="s">
        <v>689</v>
      </c>
      <c r="B196" s="3">
        <v>45685</v>
      </c>
      <c r="C196" s="3">
        <v>45688</v>
      </c>
      <c r="D196">
        <f t="shared" si="30"/>
        <v>3</v>
      </c>
      <c r="E196" t="s">
        <v>690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691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>
        <v>1</v>
      </c>
      <c r="X196" t="s">
        <v>2765</v>
      </c>
      <c r="Y196">
        <f t="shared" si="31"/>
        <v>0.05</v>
      </c>
      <c r="Z196">
        <f t="shared" si="32"/>
        <v>7339.2344999999996</v>
      </c>
      <c r="AA196">
        <f t="shared" si="33"/>
        <v>1905.1144999999997</v>
      </c>
      <c r="AB196" s="7">
        <f t="shared" si="34"/>
        <v>0.25957945614082772</v>
      </c>
      <c r="AC196" t="str">
        <f t="shared" si="35"/>
        <v>January</v>
      </c>
      <c r="AD196">
        <f t="shared" si="36"/>
        <v>2025</v>
      </c>
      <c r="AE196" t="str">
        <f t="shared" si="37"/>
        <v>Clean</v>
      </c>
      <c r="AF196" t="str">
        <f t="shared" si="38"/>
        <v>Match</v>
      </c>
      <c r="AG196" t="str">
        <f t="shared" si="39"/>
        <v>Match</v>
      </c>
    </row>
    <row r="197" spans="1:33">
      <c r="A197" t="s">
        <v>692</v>
      </c>
      <c r="B197" s="3">
        <v>45860</v>
      </c>
      <c r="C197" s="3">
        <v>45862</v>
      </c>
      <c r="D197">
        <f t="shared" si="30"/>
        <v>2</v>
      </c>
      <c r="E197" t="s">
        <v>693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694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>
        <v>1</v>
      </c>
      <c r="X197" t="s">
        <v>2765</v>
      </c>
      <c r="Y197">
        <f t="shared" si="31"/>
        <v>0</v>
      </c>
      <c r="Z197">
        <f t="shared" si="32"/>
        <v>9614.15</v>
      </c>
      <c r="AA197">
        <f t="shared" si="33"/>
        <v>2037.3099999999995</v>
      </c>
      <c r="AB197" s="7">
        <f t="shared" si="34"/>
        <v>0.21190744891644084</v>
      </c>
      <c r="AC197" t="str">
        <f t="shared" si="35"/>
        <v>July</v>
      </c>
      <c r="AD197">
        <f t="shared" si="36"/>
        <v>2025</v>
      </c>
      <c r="AE197" t="str">
        <f t="shared" si="37"/>
        <v>Clean</v>
      </c>
      <c r="AF197" t="str">
        <f t="shared" si="38"/>
        <v>Match</v>
      </c>
      <c r="AG197" t="str">
        <f t="shared" si="39"/>
        <v>Match</v>
      </c>
    </row>
    <row r="198" spans="1:33">
      <c r="A198" t="s">
        <v>695</v>
      </c>
      <c r="B198" s="3">
        <v>45313</v>
      </c>
      <c r="C198" s="3">
        <v>45316</v>
      </c>
      <c r="D198">
        <f t="shared" si="30"/>
        <v>3</v>
      </c>
      <c r="E198" t="s">
        <v>696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697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>
        <v>1</v>
      </c>
      <c r="X198" t="s">
        <v>2765</v>
      </c>
      <c r="Y198">
        <f t="shared" si="31"/>
        <v>0.1</v>
      </c>
      <c r="Z198">
        <f t="shared" si="32"/>
        <v>3272.4810000000002</v>
      </c>
      <c r="AA198">
        <f t="shared" si="33"/>
        <v>755.04100000000017</v>
      </c>
      <c r="AB198" s="7">
        <f t="shared" si="34"/>
        <v>0.23072433422837293</v>
      </c>
      <c r="AC198" t="str">
        <f t="shared" si="35"/>
        <v>January</v>
      </c>
      <c r="AD198">
        <f t="shared" si="36"/>
        <v>2024</v>
      </c>
      <c r="AE198" t="str">
        <f t="shared" si="37"/>
        <v>Clean</v>
      </c>
      <c r="AF198" t="str">
        <f t="shared" si="38"/>
        <v>Match</v>
      </c>
      <c r="AG198" t="str">
        <f t="shared" si="39"/>
        <v>Match</v>
      </c>
    </row>
    <row r="199" spans="1:33">
      <c r="A199" t="s">
        <v>698</v>
      </c>
      <c r="B199" s="3">
        <v>45747</v>
      </c>
      <c r="C199" s="3">
        <v>45754</v>
      </c>
      <c r="D199">
        <f t="shared" si="30"/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699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>
        <v>1</v>
      </c>
      <c r="X199" t="s">
        <v>2765</v>
      </c>
      <c r="Y199">
        <f t="shared" si="31"/>
        <v>0.15</v>
      </c>
      <c r="Z199">
        <f t="shared" si="32"/>
        <v>17409.869999999995</v>
      </c>
      <c r="AA199">
        <f t="shared" si="33"/>
        <v>3333.6199999999953</v>
      </c>
      <c r="AB199" s="7">
        <f t="shared" si="34"/>
        <v>0.19147874165631312</v>
      </c>
      <c r="AC199" t="str">
        <f t="shared" si="35"/>
        <v>March</v>
      </c>
      <c r="AD199">
        <f t="shared" si="36"/>
        <v>2025</v>
      </c>
      <c r="AE199" t="str">
        <f t="shared" si="37"/>
        <v>Clean</v>
      </c>
      <c r="AF199" t="str">
        <f t="shared" si="38"/>
        <v>Match</v>
      </c>
      <c r="AG199" t="str">
        <f t="shared" si="39"/>
        <v>Match</v>
      </c>
    </row>
    <row r="200" spans="1:33">
      <c r="A200" t="s">
        <v>700</v>
      </c>
      <c r="B200" s="3">
        <v>45448</v>
      </c>
      <c r="C200" s="3">
        <v>45449</v>
      </c>
      <c r="D200">
        <f t="shared" si="30"/>
        <v>1</v>
      </c>
      <c r="E200" t="s">
        <v>701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702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>
        <v>1</v>
      </c>
      <c r="X200" t="s">
        <v>2765</v>
      </c>
      <c r="Y200">
        <f t="shared" si="31"/>
        <v>0.05</v>
      </c>
      <c r="Z200">
        <f t="shared" si="32"/>
        <v>1125.3509999999999</v>
      </c>
      <c r="AA200">
        <f t="shared" si="33"/>
        <v>448.38099999999986</v>
      </c>
      <c r="AB200" s="7">
        <f t="shared" si="34"/>
        <v>0.39843657667696558</v>
      </c>
      <c r="AC200" t="str">
        <f t="shared" si="35"/>
        <v>June</v>
      </c>
      <c r="AD200">
        <f t="shared" si="36"/>
        <v>2024</v>
      </c>
      <c r="AE200" t="str">
        <f t="shared" si="37"/>
        <v>Clean</v>
      </c>
      <c r="AF200" t="str">
        <f t="shared" si="38"/>
        <v>Match</v>
      </c>
      <c r="AG200" t="str">
        <f t="shared" si="39"/>
        <v>Match</v>
      </c>
    </row>
    <row r="201" spans="1:33">
      <c r="A201" t="s">
        <v>703</v>
      </c>
      <c r="B201" s="3">
        <v>45363</v>
      </c>
      <c r="C201" s="3">
        <v>45363</v>
      </c>
      <c r="D201">
        <f t="shared" si="30"/>
        <v>0</v>
      </c>
      <c r="E201" t="s">
        <v>704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705</v>
      </c>
      <c r="N201" t="s">
        <v>2760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>
        <v>1</v>
      </c>
      <c r="X201" t="s">
        <v>2765</v>
      </c>
      <c r="Y201">
        <f t="shared" si="31"/>
        <v>0.25</v>
      </c>
      <c r="Z201">
        <f t="shared" si="32"/>
        <v>9835.11</v>
      </c>
      <c r="AA201">
        <f t="shared" si="33"/>
        <v>4397.47</v>
      </c>
      <c r="AB201" s="7">
        <f t="shared" si="34"/>
        <v>0.44711955433136996</v>
      </c>
      <c r="AC201" t="str">
        <f t="shared" si="35"/>
        <v>March</v>
      </c>
      <c r="AD201">
        <f t="shared" si="36"/>
        <v>2024</v>
      </c>
      <c r="AE201" t="str">
        <f t="shared" si="37"/>
        <v>Clean</v>
      </c>
      <c r="AF201" t="str">
        <f t="shared" si="38"/>
        <v>Match</v>
      </c>
      <c r="AG201" t="str">
        <f t="shared" si="39"/>
        <v>Match</v>
      </c>
    </row>
    <row r="202" spans="1:33">
      <c r="A202" t="s">
        <v>706</v>
      </c>
      <c r="B202" s="3">
        <v>45835</v>
      </c>
      <c r="C202" s="3">
        <v>45843</v>
      </c>
      <c r="D202">
        <f t="shared" si="30"/>
        <v>8</v>
      </c>
      <c r="E202" t="s">
        <v>707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708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>
        <v>1</v>
      </c>
      <c r="X202" t="s">
        <v>2765</v>
      </c>
      <c r="Y202">
        <f t="shared" si="31"/>
        <v>0.1</v>
      </c>
      <c r="Z202">
        <f t="shared" si="32"/>
        <v>12907.980000000001</v>
      </c>
      <c r="AA202">
        <f t="shared" si="33"/>
        <v>3710.9000000000015</v>
      </c>
      <c r="AB202" s="7">
        <f t="shared" si="34"/>
        <v>0.28748882474252369</v>
      </c>
      <c r="AC202" t="str">
        <f t="shared" si="35"/>
        <v>June</v>
      </c>
      <c r="AD202">
        <f t="shared" si="36"/>
        <v>2025</v>
      </c>
      <c r="AE202" t="str">
        <f t="shared" si="37"/>
        <v>Clean</v>
      </c>
      <c r="AF202" t="str">
        <f t="shared" si="38"/>
        <v>Match</v>
      </c>
      <c r="AG202" t="str">
        <f t="shared" si="39"/>
        <v>Match</v>
      </c>
    </row>
    <row r="203" spans="1:33">
      <c r="A203" t="s">
        <v>709</v>
      </c>
      <c r="B203" s="3">
        <v>45864</v>
      </c>
      <c r="C203" s="3">
        <v>45872</v>
      </c>
      <c r="D203">
        <f t="shared" si="30"/>
        <v>8</v>
      </c>
      <c r="E203" t="s">
        <v>710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711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>
        <v>1</v>
      </c>
      <c r="X203" t="s">
        <v>2765</v>
      </c>
      <c r="Y203">
        <f t="shared" si="31"/>
        <v>-0.16</v>
      </c>
      <c r="Z203">
        <f t="shared" si="32"/>
        <v>5808.1895999999997</v>
      </c>
      <c r="AA203">
        <f t="shared" si="33"/>
        <v>2853.3295999999996</v>
      </c>
      <c r="AB203" s="7">
        <f t="shared" si="34"/>
        <v>0.49125972058487893</v>
      </c>
      <c r="AC203" t="str">
        <f t="shared" si="35"/>
        <v>July</v>
      </c>
      <c r="AD203">
        <f t="shared" si="36"/>
        <v>2025</v>
      </c>
      <c r="AE203" t="str">
        <f t="shared" si="37"/>
        <v>Invalid</v>
      </c>
      <c r="AF203" t="str">
        <f t="shared" si="38"/>
        <v>Mismatch</v>
      </c>
      <c r="AG203" t="str">
        <f t="shared" si="39"/>
        <v>Mismatch</v>
      </c>
    </row>
    <row r="204" spans="1:33">
      <c r="A204" t="s">
        <v>712</v>
      </c>
      <c r="B204" s="3">
        <v>45744</v>
      </c>
      <c r="C204" s="3">
        <v>45744</v>
      </c>
      <c r="D204">
        <f t="shared" si="30"/>
        <v>0</v>
      </c>
      <c r="E204" t="s">
        <v>713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714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>
        <v>1</v>
      </c>
      <c r="X204" t="s">
        <v>2765</v>
      </c>
      <c r="Y204">
        <f t="shared" si="31"/>
        <v>0.05</v>
      </c>
      <c r="Z204">
        <f t="shared" si="32"/>
        <v>13231.144</v>
      </c>
      <c r="AA204">
        <f t="shared" si="33"/>
        <v>1941.0840000000007</v>
      </c>
      <c r="AB204" s="7">
        <f t="shared" si="34"/>
        <v>0.14670568168557463</v>
      </c>
      <c r="AC204" t="str">
        <f t="shared" si="35"/>
        <v>March</v>
      </c>
      <c r="AD204">
        <f t="shared" si="36"/>
        <v>2025</v>
      </c>
      <c r="AE204" t="str">
        <f t="shared" si="37"/>
        <v>Clean</v>
      </c>
      <c r="AF204" t="str">
        <f t="shared" si="38"/>
        <v>Match</v>
      </c>
      <c r="AG204" t="str">
        <f t="shared" si="39"/>
        <v>Match</v>
      </c>
    </row>
    <row r="205" spans="1:33">
      <c r="A205" t="s">
        <v>715</v>
      </c>
      <c r="B205" s="3">
        <v>45379</v>
      </c>
      <c r="C205" s="3">
        <v>45381</v>
      </c>
      <c r="D205">
        <f t="shared" si="30"/>
        <v>2</v>
      </c>
      <c r="E205" t="s">
        <v>716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717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>
        <v>1</v>
      </c>
      <c r="X205" t="s">
        <v>2765</v>
      </c>
      <c r="Y205">
        <f t="shared" si="31"/>
        <v>0.15</v>
      </c>
      <c r="Z205">
        <f t="shared" si="32"/>
        <v>484.78899999999999</v>
      </c>
      <c r="AA205">
        <f t="shared" si="33"/>
        <v>151.24899999999997</v>
      </c>
      <c r="AB205" s="7">
        <f t="shared" si="34"/>
        <v>0.3119893396921134</v>
      </c>
      <c r="AC205" t="str">
        <f t="shared" si="35"/>
        <v>March</v>
      </c>
      <c r="AD205">
        <f t="shared" si="36"/>
        <v>2024</v>
      </c>
      <c r="AE205" t="str">
        <f t="shared" si="37"/>
        <v>Clean</v>
      </c>
      <c r="AF205" t="str">
        <f t="shared" si="38"/>
        <v>Match</v>
      </c>
      <c r="AG205" t="str">
        <f t="shared" si="39"/>
        <v>Match</v>
      </c>
    </row>
    <row r="206" spans="1:33">
      <c r="A206" t="s">
        <v>718</v>
      </c>
      <c r="B206" s="3">
        <v>45858</v>
      </c>
      <c r="C206" s="3">
        <v>45861</v>
      </c>
      <c r="D206">
        <f t="shared" si="30"/>
        <v>3</v>
      </c>
      <c r="E206" t="s">
        <v>719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720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>
        <v>1</v>
      </c>
      <c r="X206" t="s">
        <v>2765</v>
      </c>
      <c r="Y206">
        <f t="shared" si="31"/>
        <v>0.15</v>
      </c>
      <c r="Z206">
        <f t="shared" si="32"/>
        <v>1624.146</v>
      </c>
      <c r="AA206">
        <f t="shared" si="33"/>
        <v>406.15599999999995</v>
      </c>
      <c r="AB206" s="7">
        <f t="shared" si="34"/>
        <v>0.25007357712914968</v>
      </c>
      <c r="AC206" t="str">
        <f t="shared" si="35"/>
        <v>July</v>
      </c>
      <c r="AD206">
        <f t="shared" si="36"/>
        <v>2025</v>
      </c>
      <c r="AE206" t="str">
        <f t="shared" si="37"/>
        <v>Clean</v>
      </c>
      <c r="AF206" t="str">
        <f t="shared" si="38"/>
        <v>Match</v>
      </c>
      <c r="AG206" t="str">
        <f t="shared" si="39"/>
        <v>Match</v>
      </c>
    </row>
    <row r="207" spans="1:33">
      <c r="A207" t="s">
        <v>721</v>
      </c>
      <c r="B207" s="3">
        <v>45768</v>
      </c>
      <c r="C207" s="3">
        <v>45773</v>
      </c>
      <c r="D207">
        <f t="shared" si="30"/>
        <v>5</v>
      </c>
      <c r="E207" t="s">
        <v>722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723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>
        <v>1</v>
      </c>
      <c r="X207" t="s">
        <v>2765</v>
      </c>
      <c r="Y207">
        <f t="shared" si="31"/>
        <v>0.2</v>
      </c>
      <c r="Z207">
        <f t="shared" si="32"/>
        <v>4193.232</v>
      </c>
      <c r="AA207">
        <f t="shared" si="33"/>
        <v>863.24200000000019</v>
      </c>
      <c r="AB207" s="7">
        <f t="shared" si="34"/>
        <v>0.2058655471483572</v>
      </c>
      <c r="AC207" t="str">
        <f t="shared" si="35"/>
        <v>April</v>
      </c>
      <c r="AD207">
        <f t="shared" si="36"/>
        <v>2025</v>
      </c>
      <c r="AE207" t="str">
        <f t="shared" si="37"/>
        <v>Clean</v>
      </c>
      <c r="AF207" t="str">
        <f t="shared" si="38"/>
        <v>Match</v>
      </c>
      <c r="AG207" t="str">
        <f t="shared" si="39"/>
        <v>Match</v>
      </c>
    </row>
    <row r="208" spans="1:33">
      <c r="A208" t="s">
        <v>724</v>
      </c>
      <c r="B208" s="3">
        <v>45795</v>
      </c>
      <c r="C208" s="3">
        <v>45797</v>
      </c>
      <c r="D208">
        <f t="shared" si="30"/>
        <v>2</v>
      </c>
      <c r="E208" t="s">
        <v>725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726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>
        <v>1</v>
      </c>
      <c r="X208" t="s">
        <v>2765</v>
      </c>
      <c r="Y208">
        <f t="shared" si="31"/>
        <v>0</v>
      </c>
      <c r="Z208">
        <f t="shared" si="32"/>
        <v>430.26</v>
      </c>
      <c r="AA208">
        <f t="shared" si="33"/>
        <v>143.88</v>
      </c>
      <c r="AB208" s="7">
        <f t="shared" si="34"/>
        <v>0.33440245432994004</v>
      </c>
      <c r="AC208" t="str">
        <f t="shared" si="35"/>
        <v>May</v>
      </c>
      <c r="AD208">
        <f t="shared" si="36"/>
        <v>2025</v>
      </c>
      <c r="AE208" t="str">
        <f t="shared" si="37"/>
        <v>Clean</v>
      </c>
      <c r="AF208" t="str">
        <f t="shared" si="38"/>
        <v>Match</v>
      </c>
      <c r="AG208" t="str">
        <f t="shared" si="39"/>
        <v>Match</v>
      </c>
    </row>
    <row r="209" spans="1:33">
      <c r="A209" t="s">
        <v>727</v>
      </c>
      <c r="B209" s="3">
        <v>45483</v>
      </c>
      <c r="C209" s="3">
        <v>45489</v>
      </c>
      <c r="D209">
        <f t="shared" si="30"/>
        <v>6</v>
      </c>
      <c r="E209" t="s">
        <v>728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729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>
        <v>1</v>
      </c>
      <c r="X209" t="s">
        <v>2765</v>
      </c>
      <c r="Y209">
        <f t="shared" si="31"/>
        <v>0.2</v>
      </c>
      <c r="Z209">
        <f t="shared" si="32"/>
        <v>1752.7200000000003</v>
      </c>
      <c r="AA209">
        <f t="shared" si="33"/>
        <v>756.31000000000029</v>
      </c>
      <c r="AB209" s="7">
        <f t="shared" si="34"/>
        <v>0.43150645853302305</v>
      </c>
      <c r="AC209" t="str">
        <f t="shared" si="35"/>
        <v>July</v>
      </c>
      <c r="AD209">
        <f t="shared" si="36"/>
        <v>2024</v>
      </c>
      <c r="AE209" t="str">
        <f t="shared" si="37"/>
        <v>Clean</v>
      </c>
      <c r="AF209" t="str">
        <f t="shared" si="38"/>
        <v>Match</v>
      </c>
      <c r="AG209" t="str">
        <f t="shared" si="39"/>
        <v>Match</v>
      </c>
    </row>
    <row r="210" spans="1:33">
      <c r="A210" t="s">
        <v>730</v>
      </c>
      <c r="B210" s="3">
        <v>45837</v>
      </c>
      <c r="C210" s="3">
        <v>45843</v>
      </c>
      <c r="D210">
        <f t="shared" si="30"/>
        <v>6</v>
      </c>
      <c r="E210" t="s">
        <v>731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732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>
        <v>1</v>
      </c>
      <c r="X210" t="s">
        <v>2765</v>
      </c>
      <c r="Y210">
        <f t="shared" si="31"/>
        <v>0</v>
      </c>
      <c r="Z210">
        <f t="shared" si="32"/>
        <v>999.83</v>
      </c>
      <c r="AA210">
        <f t="shared" si="33"/>
        <v>364.92000000000007</v>
      </c>
      <c r="AB210" s="7">
        <f t="shared" si="34"/>
        <v>0.3649820469479812</v>
      </c>
      <c r="AC210" t="str">
        <f t="shared" si="35"/>
        <v>June</v>
      </c>
      <c r="AD210">
        <f t="shared" si="36"/>
        <v>2025</v>
      </c>
      <c r="AE210" t="str">
        <f t="shared" si="37"/>
        <v>Clean</v>
      </c>
      <c r="AF210" t="str">
        <f t="shared" si="38"/>
        <v>Match</v>
      </c>
      <c r="AG210" t="str">
        <f t="shared" si="39"/>
        <v>Match</v>
      </c>
    </row>
    <row r="211" spans="1:33">
      <c r="A211" t="s">
        <v>733</v>
      </c>
      <c r="B211" s="3">
        <v>45882</v>
      </c>
      <c r="C211" s="3">
        <v>45883</v>
      </c>
      <c r="D211">
        <f t="shared" si="30"/>
        <v>1</v>
      </c>
      <c r="E211" t="s">
        <v>734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735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>
        <v>1</v>
      </c>
      <c r="X211" t="s">
        <v>2765</v>
      </c>
      <c r="Y211">
        <f t="shared" si="31"/>
        <v>0.1</v>
      </c>
      <c r="Z211">
        <f t="shared" si="32"/>
        <v>7006.3379999999997</v>
      </c>
      <c r="AA211">
        <f t="shared" si="33"/>
        <v>2365.4579999999996</v>
      </c>
      <c r="AB211" s="7">
        <f t="shared" si="34"/>
        <v>0.33761688345609359</v>
      </c>
      <c r="AC211" t="str">
        <f t="shared" si="35"/>
        <v>August</v>
      </c>
      <c r="AD211">
        <f t="shared" si="36"/>
        <v>2025</v>
      </c>
      <c r="AE211" t="str">
        <f t="shared" si="37"/>
        <v>Clean</v>
      </c>
      <c r="AF211" t="str">
        <f t="shared" si="38"/>
        <v>Match</v>
      </c>
      <c r="AG211" t="str">
        <f t="shared" si="39"/>
        <v>Match</v>
      </c>
    </row>
    <row r="212" spans="1:33">
      <c r="A212" t="s">
        <v>736</v>
      </c>
      <c r="B212" s="3">
        <v>45366</v>
      </c>
      <c r="C212" s="3">
        <v>45369</v>
      </c>
      <c r="D212">
        <f t="shared" si="30"/>
        <v>3</v>
      </c>
      <c r="E212" t="s">
        <v>737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738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>
        <v>1</v>
      </c>
      <c r="X212" t="s">
        <v>2765</v>
      </c>
      <c r="Y212">
        <f t="shared" si="31"/>
        <v>0</v>
      </c>
      <c r="Z212">
        <f t="shared" si="32"/>
        <v>4131.3599999999997</v>
      </c>
      <c r="AA212">
        <f t="shared" si="33"/>
        <v>1194.2899999999995</v>
      </c>
      <c r="AB212" s="7">
        <f t="shared" si="34"/>
        <v>0.28907914100925591</v>
      </c>
      <c r="AC212" t="str">
        <f t="shared" si="35"/>
        <v>March</v>
      </c>
      <c r="AD212">
        <f t="shared" si="36"/>
        <v>2024</v>
      </c>
      <c r="AE212" t="str">
        <f t="shared" si="37"/>
        <v>Clean</v>
      </c>
      <c r="AF212" t="str">
        <f t="shared" si="38"/>
        <v>Match</v>
      </c>
      <c r="AG212" t="str">
        <f t="shared" si="39"/>
        <v>Match</v>
      </c>
    </row>
    <row r="213" spans="1:33">
      <c r="A213" t="s">
        <v>739</v>
      </c>
      <c r="B213" s="3">
        <v>45428</v>
      </c>
      <c r="C213" s="3">
        <v>45429</v>
      </c>
      <c r="D213">
        <f t="shared" si="30"/>
        <v>1</v>
      </c>
      <c r="E213" t="s">
        <v>740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741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>
        <v>1</v>
      </c>
      <c r="X213" t="s">
        <v>2765</v>
      </c>
      <c r="Y213">
        <f t="shared" si="31"/>
        <v>0.2</v>
      </c>
      <c r="Z213">
        <f t="shared" si="32"/>
        <v>27020.48</v>
      </c>
      <c r="AA213">
        <f t="shared" si="33"/>
        <v>4135.239999999998</v>
      </c>
      <c r="AB213" s="7">
        <f t="shared" si="34"/>
        <v>0.15304095264036752</v>
      </c>
      <c r="AC213" t="str">
        <f t="shared" si="35"/>
        <v>May</v>
      </c>
      <c r="AD213">
        <f t="shared" si="36"/>
        <v>2024</v>
      </c>
      <c r="AE213" t="str">
        <f t="shared" si="37"/>
        <v>Clean</v>
      </c>
      <c r="AF213" t="str">
        <f t="shared" si="38"/>
        <v>Match</v>
      </c>
      <c r="AG213" t="str">
        <f t="shared" si="39"/>
        <v>Match</v>
      </c>
    </row>
    <row r="214" spans="1:33">
      <c r="A214" t="s">
        <v>742</v>
      </c>
      <c r="B214" s="3">
        <v>45556</v>
      </c>
      <c r="C214" s="3">
        <v>45556</v>
      </c>
      <c r="D214">
        <f t="shared" si="30"/>
        <v>0</v>
      </c>
      <c r="E214" t="s">
        <v>743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744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>
        <v>1</v>
      </c>
      <c r="X214" t="s">
        <v>2765</v>
      </c>
      <c r="Y214">
        <f t="shared" si="31"/>
        <v>0.15</v>
      </c>
      <c r="Z214">
        <f t="shared" si="32"/>
        <v>364.65</v>
      </c>
      <c r="AA214">
        <f t="shared" si="33"/>
        <v>83.909999999999968</v>
      </c>
      <c r="AB214" s="7">
        <f t="shared" si="34"/>
        <v>0.23011106540518297</v>
      </c>
      <c r="AC214" t="str">
        <f t="shared" si="35"/>
        <v>September</v>
      </c>
      <c r="AD214">
        <f t="shared" si="36"/>
        <v>2024</v>
      </c>
      <c r="AE214" t="str">
        <f t="shared" si="37"/>
        <v>Clean</v>
      </c>
      <c r="AF214" t="str">
        <f t="shared" si="38"/>
        <v>Match</v>
      </c>
      <c r="AG214" t="str">
        <f t="shared" si="39"/>
        <v>Match</v>
      </c>
    </row>
    <row r="215" spans="1:33">
      <c r="A215" t="s">
        <v>745</v>
      </c>
      <c r="B215" s="3">
        <v>45427</v>
      </c>
      <c r="C215" s="3">
        <v>45433</v>
      </c>
      <c r="D215">
        <f t="shared" si="30"/>
        <v>6</v>
      </c>
      <c r="E215" t="s">
        <v>746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747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>
        <v>1</v>
      </c>
      <c r="X215" t="s">
        <v>2765</v>
      </c>
      <c r="Y215">
        <f t="shared" si="31"/>
        <v>0.2</v>
      </c>
      <c r="Z215">
        <f t="shared" si="32"/>
        <v>13864.735999999999</v>
      </c>
      <c r="AA215">
        <f t="shared" si="33"/>
        <v>2570.6759999999995</v>
      </c>
      <c r="AB215" s="7">
        <f t="shared" si="34"/>
        <v>0.18541110339208763</v>
      </c>
      <c r="AC215" t="str">
        <f t="shared" si="35"/>
        <v>May</v>
      </c>
      <c r="AD215">
        <f t="shared" si="36"/>
        <v>2024</v>
      </c>
      <c r="AE215" t="str">
        <f t="shared" si="37"/>
        <v>Clean</v>
      </c>
      <c r="AF215" t="str">
        <f t="shared" si="38"/>
        <v>Match</v>
      </c>
      <c r="AG215" t="str">
        <f t="shared" si="39"/>
        <v>Match</v>
      </c>
    </row>
    <row r="216" spans="1:33">
      <c r="A216" t="s">
        <v>748</v>
      </c>
      <c r="B216" s="3">
        <v>45368</v>
      </c>
      <c r="C216" s="3">
        <v>45374</v>
      </c>
      <c r="D216">
        <f t="shared" si="30"/>
        <v>6</v>
      </c>
      <c r="E216" t="s">
        <v>749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750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>
        <v>1</v>
      </c>
      <c r="X216" t="s">
        <v>2765</v>
      </c>
      <c r="Y216">
        <f t="shared" si="31"/>
        <v>0.05</v>
      </c>
      <c r="Z216">
        <f t="shared" si="32"/>
        <v>707.31299999999999</v>
      </c>
      <c r="AA216">
        <f t="shared" si="33"/>
        <v>138.31299999999999</v>
      </c>
      <c r="AB216" s="7">
        <f t="shared" si="34"/>
        <v>0.19554709159876885</v>
      </c>
      <c r="AC216" t="str">
        <f t="shared" si="35"/>
        <v>March</v>
      </c>
      <c r="AD216">
        <f t="shared" si="36"/>
        <v>2024</v>
      </c>
      <c r="AE216" t="str">
        <f t="shared" si="37"/>
        <v>Clean</v>
      </c>
      <c r="AF216" t="str">
        <f t="shared" si="38"/>
        <v>Match</v>
      </c>
      <c r="AG216" t="str">
        <f t="shared" si="39"/>
        <v>Match</v>
      </c>
    </row>
    <row r="217" spans="1:33">
      <c r="A217" t="s">
        <v>751</v>
      </c>
      <c r="B217" s="3">
        <v>45352</v>
      </c>
      <c r="C217" s="3">
        <v>45355</v>
      </c>
      <c r="D217">
        <f t="shared" si="30"/>
        <v>3</v>
      </c>
      <c r="E217" t="s">
        <v>752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753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>
        <v>1</v>
      </c>
      <c r="X217" t="s">
        <v>2765</v>
      </c>
      <c r="Y217">
        <f t="shared" si="31"/>
        <v>0.25</v>
      </c>
      <c r="Z217">
        <f t="shared" si="32"/>
        <v>19214.400000000001</v>
      </c>
      <c r="AA217">
        <f t="shared" si="33"/>
        <v>8298.3900000000012</v>
      </c>
      <c r="AB217" s="7">
        <f t="shared" si="34"/>
        <v>0.43188389957531853</v>
      </c>
      <c r="AC217" t="str">
        <f t="shared" si="35"/>
        <v>March</v>
      </c>
      <c r="AD217">
        <f t="shared" si="36"/>
        <v>2024</v>
      </c>
      <c r="AE217" t="str">
        <f t="shared" si="37"/>
        <v>Clean</v>
      </c>
      <c r="AF217" t="str">
        <f t="shared" si="38"/>
        <v>Match</v>
      </c>
      <c r="AG217" t="str">
        <f t="shared" si="39"/>
        <v>Match</v>
      </c>
    </row>
    <row r="218" spans="1:33">
      <c r="A218" t="s">
        <v>754</v>
      </c>
      <c r="B218" s="3">
        <v>45757</v>
      </c>
      <c r="C218" s="3">
        <v>45762</v>
      </c>
      <c r="D218">
        <f t="shared" si="30"/>
        <v>5</v>
      </c>
      <c r="E218" t="s">
        <v>755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756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>
        <v>1</v>
      </c>
      <c r="X218" t="s">
        <v>2765</v>
      </c>
      <c r="Y218">
        <f t="shared" si="31"/>
        <v>0.25</v>
      </c>
      <c r="Z218">
        <f t="shared" si="32"/>
        <v>11039.22</v>
      </c>
      <c r="AA218">
        <f t="shared" si="33"/>
        <v>3396.3099999999995</v>
      </c>
      <c r="AB218" s="7">
        <f t="shared" si="34"/>
        <v>0.30765851210502188</v>
      </c>
      <c r="AC218" t="str">
        <f t="shared" si="35"/>
        <v>April</v>
      </c>
      <c r="AD218">
        <f t="shared" si="36"/>
        <v>2025</v>
      </c>
      <c r="AE218" t="str">
        <f t="shared" si="37"/>
        <v>Clean</v>
      </c>
      <c r="AF218" t="str">
        <f t="shared" si="38"/>
        <v>Match</v>
      </c>
      <c r="AG218" t="str">
        <f t="shared" si="39"/>
        <v>Match</v>
      </c>
    </row>
    <row r="219" spans="1:33">
      <c r="A219" t="s">
        <v>757</v>
      </c>
      <c r="B219" s="3">
        <v>45748</v>
      </c>
      <c r="C219" s="3">
        <v>45755</v>
      </c>
      <c r="D219">
        <f t="shared" si="30"/>
        <v>7</v>
      </c>
      <c r="E219" t="s">
        <v>758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759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>
        <v>1</v>
      </c>
      <c r="X219" t="s">
        <v>2765</v>
      </c>
      <c r="Y219">
        <f t="shared" si="31"/>
        <v>0.1</v>
      </c>
      <c r="Z219">
        <f t="shared" si="32"/>
        <v>4595.76</v>
      </c>
      <c r="AA219">
        <f t="shared" si="33"/>
        <v>1198.96</v>
      </c>
      <c r="AB219" s="7">
        <f t="shared" si="34"/>
        <v>0.26088394520166414</v>
      </c>
      <c r="AC219" t="str">
        <f t="shared" si="35"/>
        <v>April</v>
      </c>
      <c r="AD219">
        <f t="shared" si="36"/>
        <v>2025</v>
      </c>
      <c r="AE219" t="str">
        <f t="shared" si="37"/>
        <v>Clean</v>
      </c>
      <c r="AF219" t="str">
        <f t="shared" si="38"/>
        <v>Match</v>
      </c>
      <c r="AG219" t="str">
        <f t="shared" si="39"/>
        <v>Match</v>
      </c>
    </row>
    <row r="220" spans="1:33">
      <c r="A220" t="s">
        <v>760</v>
      </c>
      <c r="B220" s="3">
        <v>45714</v>
      </c>
      <c r="C220" s="3">
        <v>45715</v>
      </c>
      <c r="D220">
        <f t="shared" si="30"/>
        <v>1</v>
      </c>
      <c r="E220" t="s">
        <v>761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762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>
        <v>1</v>
      </c>
      <c r="X220" t="s">
        <v>2765</v>
      </c>
      <c r="Y220">
        <f t="shared" si="31"/>
        <v>0</v>
      </c>
      <c r="Z220">
        <f t="shared" si="32"/>
        <v>1291.3999999999999</v>
      </c>
      <c r="AA220">
        <f t="shared" si="33"/>
        <v>534.46999999999991</v>
      </c>
      <c r="AB220" s="7">
        <f t="shared" si="34"/>
        <v>0.41386866966083319</v>
      </c>
      <c r="AC220" t="str">
        <f t="shared" si="35"/>
        <v>February</v>
      </c>
      <c r="AD220">
        <f t="shared" si="36"/>
        <v>2025</v>
      </c>
      <c r="AE220" t="str">
        <f t="shared" si="37"/>
        <v>Clean</v>
      </c>
      <c r="AF220" t="str">
        <f t="shared" si="38"/>
        <v>Match</v>
      </c>
      <c r="AG220" t="str">
        <f t="shared" si="39"/>
        <v>Match</v>
      </c>
    </row>
    <row r="221" spans="1:33">
      <c r="A221" t="s">
        <v>763</v>
      </c>
      <c r="B221" s="3">
        <v>45461</v>
      </c>
      <c r="C221" s="3">
        <v>45462</v>
      </c>
      <c r="D221">
        <f t="shared" si="30"/>
        <v>1</v>
      </c>
      <c r="E221" t="s">
        <v>764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765</v>
      </c>
      <c r="N221" t="s">
        <v>50</v>
      </c>
      <c r="O221">
        <v>2</v>
      </c>
      <c r="P221">
        <v>121.49</v>
      </c>
      <c r="Q221" s="5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>
        <v>1</v>
      </c>
      <c r="X221" t="s">
        <v>2765</v>
      </c>
      <c r="Y221">
        <f t="shared" si="31"/>
        <v>0.85</v>
      </c>
      <c r="Z221">
        <f t="shared" si="32"/>
        <v>36.447000000000003</v>
      </c>
      <c r="AA221">
        <f t="shared" si="33"/>
        <v>-124.97299999999998</v>
      </c>
      <c r="AB221" s="7">
        <f t="shared" si="34"/>
        <v>-3.4288967541910162</v>
      </c>
      <c r="AC221" t="str">
        <f t="shared" si="35"/>
        <v>June</v>
      </c>
      <c r="AD221">
        <f t="shared" si="36"/>
        <v>2024</v>
      </c>
      <c r="AE221" t="str">
        <f t="shared" si="37"/>
        <v>Clean</v>
      </c>
      <c r="AF221" t="str">
        <f t="shared" si="38"/>
        <v>Mismatch</v>
      </c>
      <c r="AG221" t="str">
        <f t="shared" si="39"/>
        <v>Mismatch</v>
      </c>
    </row>
    <row r="222" spans="1:33">
      <c r="A222" t="s">
        <v>766</v>
      </c>
      <c r="B222" s="3">
        <v>45538</v>
      </c>
      <c r="C222" s="3">
        <v>45538</v>
      </c>
      <c r="D222">
        <f t="shared" si="30"/>
        <v>0</v>
      </c>
      <c r="E222" t="s">
        <v>767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768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>
        <v>1</v>
      </c>
      <c r="X222" t="s">
        <v>2765</v>
      </c>
      <c r="Y222">
        <f t="shared" si="31"/>
        <v>0.15</v>
      </c>
      <c r="Z222">
        <f t="shared" si="32"/>
        <v>9554.5779999999995</v>
      </c>
      <c r="AA222">
        <f t="shared" si="33"/>
        <v>3486.1079999999993</v>
      </c>
      <c r="AB222" s="7">
        <f t="shared" si="34"/>
        <v>0.36486258210462036</v>
      </c>
      <c r="AC222" t="str">
        <f t="shared" si="35"/>
        <v>September</v>
      </c>
      <c r="AD222">
        <f t="shared" si="36"/>
        <v>2024</v>
      </c>
      <c r="AE222" t="str">
        <f t="shared" si="37"/>
        <v>Clean</v>
      </c>
      <c r="AF222" t="str">
        <f t="shared" si="38"/>
        <v>Match</v>
      </c>
      <c r="AG222" t="str">
        <f t="shared" si="39"/>
        <v>Match</v>
      </c>
    </row>
    <row r="223" spans="1:33">
      <c r="A223" t="s">
        <v>769</v>
      </c>
      <c r="B223" s="3">
        <v>45669</v>
      </c>
      <c r="C223" s="3">
        <v>45672</v>
      </c>
      <c r="D223">
        <f t="shared" si="30"/>
        <v>3</v>
      </c>
      <c r="E223" t="s">
        <v>770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771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>
        <v>1</v>
      </c>
      <c r="X223" t="s">
        <v>2765</v>
      </c>
      <c r="Y223">
        <f t="shared" si="31"/>
        <v>0.2</v>
      </c>
      <c r="Z223">
        <f t="shared" si="32"/>
        <v>4900.8959999999997</v>
      </c>
      <c r="AA223">
        <f t="shared" si="33"/>
        <v>1348.2059999999997</v>
      </c>
      <c r="AB223" s="7">
        <f t="shared" si="34"/>
        <v>0.27509377877024932</v>
      </c>
      <c r="AC223" t="str">
        <f t="shared" si="35"/>
        <v>January</v>
      </c>
      <c r="AD223">
        <f t="shared" si="36"/>
        <v>2025</v>
      </c>
      <c r="AE223" t="str">
        <f t="shared" si="37"/>
        <v>Clean</v>
      </c>
      <c r="AF223" t="str">
        <f t="shared" si="38"/>
        <v>Match</v>
      </c>
      <c r="AG223" t="str">
        <f t="shared" si="39"/>
        <v>Match</v>
      </c>
    </row>
    <row r="224" spans="1:33">
      <c r="A224" t="s">
        <v>772</v>
      </c>
      <c r="B224" s="3">
        <v>45776</v>
      </c>
      <c r="C224" s="3">
        <v>45779</v>
      </c>
      <c r="D224">
        <f t="shared" si="30"/>
        <v>3</v>
      </c>
      <c r="E224" t="s">
        <v>773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774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>
        <v>1</v>
      </c>
      <c r="X224" t="s">
        <v>2765</v>
      </c>
      <c r="Y224">
        <f t="shared" si="31"/>
        <v>0</v>
      </c>
      <c r="Z224">
        <f t="shared" si="32"/>
        <v>25848.54</v>
      </c>
      <c r="AA224">
        <f t="shared" si="33"/>
        <v>8119.4500000000007</v>
      </c>
      <c r="AB224" s="7">
        <f t="shared" si="34"/>
        <v>0.31411638723115504</v>
      </c>
      <c r="AC224" t="str">
        <f t="shared" si="35"/>
        <v>April</v>
      </c>
      <c r="AD224">
        <f t="shared" si="36"/>
        <v>2025</v>
      </c>
      <c r="AE224" t="str">
        <f t="shared" si="37"/>
        <v>Clean</v>
      </c>
      <c r="AF224" t="str">
        <f t="shared" si="38"/>
        <v>Match</v>
      </c>
      <c r="AG224" t="str">
        <f t="shared" si="39"/>
        <v>Match</v>
      </c>
    </row>
    <row r="225" spans="1:33">
      <c r="A225" t="s">
        <v>775</v>
      </c>
      <c r="B225" s="3">
        <v>45707</v>
      </c>
      <c r="C225" s="3">
        <v>45714</v>
      </c>
      <c r="D225">
        <f t="shared" si="30"/>
        <v>7</v>
      </c>
      <c r="E225" t="s">
        <v>776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777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>
        <v>1</v>
      </c>
      <c r="X225" t="s">
        <v>2765</v>
      </c>
      <c r="Y225">
        <f t="shared" si="31"/>
        <v>0.2</v>
      </c>
      <c r="Z225">
        <f t="shared" si="32"/>
        <v>1176.72</v>
      </c>
      <c r="AA225">
        <f t="shared" si="33"/>
        <v>522.39</v>
      </c>
      <c r="AB225" s="7">
        <f t="shared" si="34"/>
        <v>0.44393738527432181</v>
      </c>
      <c r="AC225" t="str">
        <f t="shared" si="35"/>
        <v>February</v>
      </c>
      <c r="AD225">
        <f t="shared" si="36"/>
        <v>2025</v>
      </c>
      <c r="AE225" t="str">
        <f t="shared" si="37"/>
        <v>Clean</v>
      </c>
      <c r="AF225" t="str">
        <f t="shared" si="38"/>
        <v>Match</v>
      </c>
      <c r="AG225" t="str">
        <f t="shared" si="39"/>
        <v>Match</v>
      </c>
    </row>
    <row r="226" spans="1:33">
      <c r="A226" t="s">
        <v>778</v>
      </c>
      <c r="B226" s="3">
        <v>45932</v>
      </c>
      <c r="C226" s="3">
        <v>45938</v>
      </c>
      <c r="D226">
        <f t="shared" si="30"/>
        <v>6</v>
      </c>
      <c r="E226" t="s">
        <v>779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780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>
        <v>2</v>
      </c>
      <c r="X226" t="s">
        <v>2764</v>
      </c>
      <c r="Y226">
        <f t="shared" si="31"/>
        <v>0.25</v>
      </c>
      <c r="Z226">
        <f t="shared" si="32"/>
        <v>11833.92</v>
      </c>
      <c r="AA226">
        <f t="shared" si="33"/>
        <v>5151</v>
      </c>
      <c r="AB226" s="7">
        <f t="shared" si="34"/>
        <v>0.43527419485681834</v>
      </c>
      <c r="AC226" t="str">
        <f t="shared" si="35"/>
        <v>October</v>
      </c>
      <c r="AD226">
        <f t="shared" si="36"/>
        <v>2025</v>
      </c>
      <c r="AE226" t="str">
        <f t="shared" si="37"/>
        <v>Warning</v>
      </c>
      <c r="AF226" t="str">
        <f t="shared" si="38"/>
        <v>Match</v>
      </c>
      <c r="AG226" t="str">
        <f t="shared" si="39"/>
        <v>Match</v>
      </c>
    </row>
    <row r="227" spans="1:33">
      <c r="A227" t="s">
        <v>781</v>
      </c>
      <c r="B227" s="3">
        <v>45537</v>
      </c>
      <c r="C227" s="3">
        <v>45545</v>
      </c>
      <c r="D227">
        <f t="shared" si="30"/>
        <v>8</v>
      </c>
      <c r="E227" t="s">
        <v>782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783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>
        <v>1</v>
      </c>
      <c r="X227" t="s">
        <v>2765</v>
      </c>
      <c r="Y227">
        <f t="shared" si="31"/>
        <v>0.15</v>
      </c>
      <c r="Z227">
        <f t="shared" si="32"/>
        <v>5265.5969999999998</v>
      </c>
      <c r="AA227">
        <f t="shared" si="33"/>
        <v>972.48700000000008</v>
      </c>
      <c r="AB227" s="7">
        <f t="shared" si="34"/>
        <v>0.18468694053114967</v>
      </c>
      <c r="AC227" t="str">
        <f t="shared" si="35"/>
        <v>September</v>
      </c>
      <c r="AD227">
        <f t="shared" si="36"/>
        <v>2024</v>
      </c>
      <c r="AE227" t="str">
        <f t="shared" si="37"/>
        <v>Clean</v>
      </c>
      <c r="AF227" t="str">
        <f t="shared" si="38"/>
        <v>Match</v>
      </c>
      <c r="AG227" t="str">
        <f t="shared" si="39"/>
        <v>Mismatch</v>
      </c>
    </row>
    <row r="228" spans="1:33">
      <c r="A228" t="s">
        <v>784</v>
      </c>
      <c r="B228" s="3">
        <v>45757</v>
      </c>
      <c r="C228" s="3">
        <v>45762</v>
      </c>
      <c r="D228">
        <f t="shared" si="30"/>
        <v>5</v>
      </c>
      <c r="E228" t="s">
        <v>785</v>
      </c>
      <c r="F228" t="s">
        <v>162</v>
      </c>
      <c r="G228" t="s">
        <v>95</v>
      </c>
      <c r="H228" t="s">
        <v>2760</v>
      </c>
      <c r="I228" t="s">
        <v>185</v>
      </c>
      <c r="J228" t="s">
        <v>186</v>
      </c>
      <c r="K228" t="s">
        <v>74</v>
      </c>
      <c r="L228" t="s">
        <v>80</v>
      </c>
      <c r="M228" t="s">
        <v>786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>
        <v>1</v>
      </c>
      <c r="X228" t="s">
        <v>2765</v>
      </c>
      <c r="Y228">
        <f t="shared" si="31"/>
        <v>0.1</v>
      </c>
      <c r="Z228">
        <f t="shared" si="32"/>
        <v>1987.443</v>
      </c>
      <c r="AA228">
        <f t="shared" si="33"/>
        <v>877.21299999999997</v>
      </c>
      <c r="AB228" s="7">
        <f t="shared" si="34"/>
        <v>0.44137768982556985</v>
      </c>
      <c r="AC228" t="str">
        <f t="shared" si="35"/>
        <v>April</v>
      </c>
      <c r="AD228">
        <f t="shared" si="36"/>
        <v>2025</v>
      </c>
      <c r="AE228" t="str">
        <f t="shared" si="37"/>
        <v>Clean</v>
      </c>
      <c r="AF228" t="str">
        <f t="shared" si="38"/>
        <v>Match</v>
      </c>
      <c r="AG228" t="str">
        <f t="shared" si="39"/>
        <v>Match</v>
      </c>
    </row>
    <row r="229" spans="1:33">
      <c r="A229" t="s">
        <v>787</v>
      </c>
      <c r="B229" s="3">
        <v>45478</v>
      </c>
      <c r="C229" s="3">
        <v>45485</v>
      </c>
      <c r="D229">
        <f t="shared" si="30"/>
        <v>7</v>
      </c>
      <c r="E229" t="s">
        <v>788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789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>
        <v>1</v>
      </c>
      <c r="X229" t="s">
        <v>2765</v>
      </c>
      <c r="Y229">
        <f t="shared" si="31"/>
        <v>0.15</v>
      </c>
      <c r="Z229">
        <f t="shared" si="32"/>
        <v>1473.2625</v>
      </c>
      <c r="AA229">
        <f t="shared" si="33"/>
        <v>573.40250000000003</v>
      </c>
      <c r="AB229" s="7">
        <f t="shared" si="34"/>
        <v>0.38920592901808065</v>
      </c>
      <c r="AC229" t="str">
        <f t="shared" si="35"/>
        <v>July</v>
      </c>
      <c r="AD229">
        <f t="shared" si="36"/>
        <v>2024</v>
      </c>
      <c r="AE229" t="str">
        <f t="shared" si="37"/>
        <v>Clean</v>
      </c>
      <c r="AF229" t="str">
        <f t="shared" si="38"/>
        <v>Match</v>
      </c>
      <c r="AG229" t="str">
        <f t="shared" si="39"/>
        <v>Match</v>
      </c>
    </row>
    <row r="230" spans="1:33">
      <c r="A230" t="s">
        <v>790</v>
      </c>
      <c r="B230" s="3">
        <v>45406</v>
      </c>
      <c r="C230" s="3">
        <v>45410</v>
      </c>
      <c r="D230">
        <f t="shared" si="30"/>
        <v>4</v>
      </c>
      <c r="E230" t="s">
        <v>791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792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>
        <v>1</v>
      </c>
      <c r="X230" t="s">
        <v>2765</v>
      </c>
      <c r="Y230">
        <f t="shared" si="31"/>
        <v>0.15</v>
      </c>
      <c r="Z230">
        <f t="shared" si="32"/>
        <v>2715.2145</v>
      </c>
      <c r="AA230">
        <f t="shared" si="33"/>
        <v>1163.6645000000001</v>
      </c>
      <c r="AB230" s="7">
        <f t="shared" si="34"/>
        <v>0.42857184948003191</v>
      </c>
      <c r="AC230" t="str">
        <f t="shared" si="35"/>
        <v>April</v>
      </c>
      <c r="AD230">
        <f t="shared" si="36"/>
        <v>2024</v>
      </c>
      <c r="AE230" t="str">
        <f t="shared" si="37"/>
        <v>Clean</v>
      </c>
      <c r="AF230" t="str">
        <f t="shared" si="38"/>
        <v>Match</v>
      </c>
      <c r="AG230" t="str">
        <f t="shared" si="39"/>
        <v>Match</v>
      </c>
    </row>
    <row r="231" spans="1:33">
      <c r="A231" t="s">
        <v>793</v>
      </c>
      <c r="B231" s="3">
        <v>45836</v>
      </c>
      <c r="C231" s="3">
        <v>45842</v>
      </c>
      <c r="D231">
        <f t="shared" si="30"/>
        <v>6</v>
      </c>
      <c r="E231" t="s">
        <v>794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795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>
        <v>1</v>
      </c>
      <c r="X231" t="s">
        <v>2765</v>
      </c>
      <c r="Y231">
        <f t="shared" si="31"/>
        <v>0</v>
      </c>
      <c r="Z231">
        <f t="shared" si="32"/>
        <v>8658.69</v>
      </c>
      <c r="AA231">
        <f t="shared" si="33"/>
        <v>3122.7500000000009</v>
      </c>
      <c r="AB231" s="7">
        <f t="shared" si="34"/>
        <v>0.36064924370776652</v>
      </c>
      <c r="AC231" t="str">
        <f t="shared" si="35"/>
        <v>June</v>
      </c>
      <c r="AD231">
        <f t="shared" si="36"/>
        <v>2025</v>
      </c>
      <c r="AE231" t="str">
        <f t="shared" si="37"/>
        <v>Clean</v>
      </c>
      <c r="AF231" t="str">
        <f t="shared" si="38"/>
        <v>Match</v>
      </c>
      <c r="AG231" t="str">
        <f t="shared" si="39"/>
        <v>Match</v>
      </c>
    </row>
    <row r="232" spans="1:33">
      <c r="A232" t="s">
        <v>796</v>
      </c>
      <c r="B232" s="3">
        <v>45440</v>
      </c>
      <c r="C232" s="3">
        <v>45446</v>
      </c>
      <c r="D232">
        <f t="shared" si="30"/>
        <v>6</v>
      </c>
      <c r="E232" t="s">
        <v>797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798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>
        <v>1</v>
      </c>
      <c r="X232" t="s">
        <v>2765</v>
      </c>
      <c r="Y232">
        <f t="shared" si="31"/>
        <v>0.1</v>
      </c>
      <c r="Z232">
        <f t="shared" si="32"/>
        <v>11090.376</v>
      </c>
      <c r="AA232">
        <f t="shared" si="33"/>
        <v>2249.4259999999995</v>
      </c>
      <c r="AB232" s="7">
        <f t="shared" si="34"/>
        <v>0.20282684734944958</v>
      </c>
      <c r="AC232" t="str">
        <f t="shared" si="35"/>
        <v>May</v>
      </c>
      <c r="AD232">
        <f t="shared" si="36"/>
        <v>2024</v>
      </c>
      <c r="AE232" t="str">
        <f t="shared" si="37"/>
        <v>Clean</v>
      </c>
      <c r="AF232" t="str">
        <f t="shared" si="38"/>
        <v>Match</v>
      </c>
      <c r="AG232" t="str">
        <f t="shared" si="39"/>
        <v>Match</v>
      </c>
    </row>
    <row r="233" spans="1:33">
      <c r="A233" t="s">
        <v>799</v>
      </c>
      <c r="B233" s="3">
        <v>45414</v>
      </c>
      <c r="C233" s="3">
        <v>45414</v>
      </c>
      <c r="D233">
        <f t="shared" si="30"/>
        <v>0</v>
      </c>
      <c r="E233" t="s">
        <v>800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801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>
        <v>1</v>
      </c>
      <c r="X233" t="s">
        <v>2765</v>
      </c>
      <c r="Y233">
        <f t="shared" si="31"/>
        <v>0.25</v>
      </c>
      <c r="Z233">
        <f t="shared" si="32"/>
        <v>11462.744999999999</v>
      </c>
      <c r="AA233">
        <f t="shared" si="33"/>
        <v>4299.204999999999</v>
      </c>
      <c r="AB233" s="7">
        <f t="shared" si="34"/>
        <v>0.37505894094302888</v>
      </c>
      <c r="AC233" t="str">
        <f t="shared" si="35"/>
        <v>May</v>
      </c>
      <c r="AD233">
        <f t="shared" si="36"/>
        <v>2024</v>
      </c>
      <c r="AE233" t="str">
        <f t="shared" si="37"/>
        <v>Clean</v>
      </c>
      <c r="AF233" t="str">
        <f t="shared" si="38"/>
        <v>Match</v>
      </c>
      <c r="AG233" t="str">
        <f t="shared" si="39"/>
        <v>Match</v>
      </c>
    </row>
    <row r="234" spans="1:33">
      <c r="A234" t="s">
        <v>802</v>
      </c>
      <c r="B234" s="3">
        <v>45812</v>
      </c>
      <c r="C234" s="3">
        <v>45818</v>
      </c>
      <c r="D234">
        <f t="shared" si="30"/>
        <v>6</v>
      </c>
      <c r="E234" t="s">
        <v>803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804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>
        <v>1</v>
      </c>
      <c r="X234" t="s">
        <v>2765</v>
      </c>
      <c r="Y234">
        <f t="shared" si="31"/>
        <v>0.25</v>
      </c>
      <c r="Z234">
        <f t="shared" si="32"/>
        <v>670.11</v>
      </c>
      <c r="AA234">
        <f t="shared" si="33"/>
        <v>110.53999999999996</v>
      </c>
      <c r="AB234" s="7">
        <f t="shared" si="34"/>
        <v>0.16495799197146732</v>
      </c>
      <c r="AC234" t="str">
        <f t="shared" si="35"/>
        <v>June</v>
      </c>
      <c r="AD234">
        <f t="shared" si="36"/>
        <v>2025</v>
      </c>
      <c r="AE234" t="str">
        <f t="shared" si="37"/>
        <v>Clean</v>
      </c>
      <c r="AF234" t="str">
        <f t="shared" si="38"/>
        <v>Match</v>
      </c>
      <c r="AG234" t="str">
        <f t="shared" si="39"/>
        <v>Match</v>
      </c>
    </row>
    <row r="235" spans="1:33">
      <c r="A235" t="s">
        <v>805</v>
      </c>
      <c r="B235" s="3">
        <v>45579</v>
      </c>
      <c r="C235" s="3">
        <v>45579</v>
      </c>
      <c r="D235">
        <f t="shared" si="30"/>
        <v>0</v>
      </c>
      <c r="E235" t="s">
        <v>806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807</v>
      </c>
      <c r="N235" t="s">
        <v>2760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>
        <v>1</v>
      </c>
      <c r="X235" t="s">
        <v>2765</v>
      </c>
      <c r="Y235">
        <f t="shared" si="31"/>
        <v>0</v>
      </c>
      <c r="Z235">
        <f t="shared" si="32"/>
        <v>31236.720000000001</v>
      </c>
      <c r="AA235">
        <f t="shared" si="33"/>
        <v>4859.0200000000004</v>
      </c>
      <c r="AB235" s="7">
        <f t="shared" si="34"/>
        <v>0.15555474454424154</v>
      </c>
      <c r="AC235" t="str">
        <f t="shared" si="35"/>
        <v>October</v>
      </c>
      <c r="AD235">
        <f t="shared" si="36"/>
        <v>2024</v>
      </c>
      <c r="AE235" t="str">
        <f t="shared" si="37"/>
        <v>Clean</v>
      </c>
      <c r="AF235" t="str">
        <f t="shared" si="38"/>
        <v>Match</v>
      </c>
      <c r="AG235" t="str">
        <f t="shared" si="39"/>
        <v>Match</v>
      </c>
    </row>
    <row r="236" spans="1:33">
      <c r="A236" t="s">
        <v>808</v>
      </c>
      <c r="B236" s="3">
        <v>45537</v>
      </c>
      <c r="C236" s="3">
        <v>45538</v>
      </c>
      <c r="D236">
        <f t="shared" si="30"/>
        <v>1</v>
      </c>
      <c r="E236" t="s">
        <v>809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810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>
        <v>1</v>
      </c>
      <c r="X236" t="s">
        <v>2765</v>
      </c>
      <c r="Y236">
        <f t="shared" si="31"/>
        <v>0.1</v>
      </c>
      <c r="Z236">
        <f t="shared" si="32"/>
        <v>10964.241</v>
      </c>
      <c r="AA236">
        <f t="shared" si="33"/>
        <v>1701.7710000000006</v>
      </c>
      <c r="AB236" s="7">
        <f t="shared" si="34"/>
        <v>0.15521101734265058</v>
      </c>
      <c r="AC236" t="str">
        <f t="shared" si="35"/>
        <v>September</v>
      </c>
      <c r="AD236">
        <f t="shared" si="36"/>
        <v>2024</v>
      </c>
      <c r="AE236" t="str">
        <f t="shared" si="37"/>
        <v>Clean</v>
      </c>
      <c r="AF236" t="str">
        <f t="shared" si="38"/>
        <v>Match</v>
      </c>
      <c r="AG236" t="str">
        <f t="shared" si="39"/>
        <v>Match</v>
      </c>
    </row>
    <row r="237" spans="1:33">
      <c r="A237" t="s">
        <v>811</v>
      </c>
      <c r="B237" s="3">
        <v>45598</v>
      </c>
      <c r="C237" s="3">
        <v>45599</v>
      </c>
      <c r="D237">
        <f t="shared" si="30"/>
        <v>1</v>
      </c>
      <c r="E237" t="s">
        <v>812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813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>
        <v>1</v>
      </c>
      <c r="X237" t="s">
        <v>2765</v>
      </c>
      <c r="Y237">
        <f t="shared" si="31"/>
        <v>0.05</v>
      </c>
      <c r="Z237">
        <f t="shared" si="32"/>
        <v>15226.352999999999</v>
      </c>
      <c r="AA237">
        <f t="shared" si="33"/>
        <v>4081.0729999999985</v>
      </c>
      <c r="AB237" s="7">
        <f t="shared" si="34"/>
        <v>0.26802695300706603</v>
      </c>
      <c r="AC237" t="str">
        <f t="shared" si="35"/>
        <v>November</v>
      </c>
      <c r="AD237">
        <f t="shared" si="36"/>
        <v>2024</v>
      </c>
      <c r="AE237" t="str">
        <f t="shared" si="37"/>
        <v>Clean</v>
      </c>
      <c r="AF237" t="str">
        <f t="shared" si="38"/>
        <v>Match</v>
      </c>
      <c r="AG237" t="str">
        <f t="shared" si="39"/>
        <v>Match</v>
      </c>
    </row>
    <row r="238" spans="1:33">
      <c r="A238" t="s">
        <v>814</v>
      </c>
      <c r="B238" s="3">
        <v>45579</v>
      </c>
      <c r="C238" s="3">
        <v>45586</v>
      </c>
      <c r="D238">
        <f t="shared" si="30"/>
        <v>7</v>
      </c>
      <c r="E238" t="s">
        <v>815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816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>
        <v>1</v>
      </c>
      <c r="X238" t="s">
        <v>2765</v>
      </c>
      <c r="Y238">
        <f t="shared" si="31"/>
        <v>0</v>
      </c>
      <c r="Z238">
        <f t="shared" si="32"/>
        <v>24376.68</v>
      </c>
      <c r="AA238">
        <f t="shared" si="33"/>
        <v>5843.2900000000009</v>
      </c>
      <c r="AB238" s="7">
        <f t="shared" si="34"/>
        <v>0.23970819652224998</v>
      </c>
      <c r="AC238" t="str">
        <f t="shared" si="35"/>
        <v>October</v>
      </c>
      <c r="AD238">
        <f t="shared" si="36"/>
        <v>2024</v>
      </c>
      <c r="AE238" t="str">
        <f t="shared" si="37"/>
        <v>Clean</v>
      </c>
      <c r="AF238" t="str">
        <f t="shared" si="38"/>
        <v>Match</v>
      </c>
      <c r="AG238" t="str">
        <f t="shared" si="39"/>
        <v>Match</v>
      </c>
    </row>
    <row r="239" spans="1:33">
      <c r="A239" t="s">
        <v>817</v>
      </c>
      <c r="B239" s="3">
        <v>45531</v>
      </c>
      <c r="C239" s="3">
        <v>45531</v>
      </c>
      <c r="D239">
        <f t="shared" si="30"/>
        <v>0</v>
      </c>
      <c r="E239" t="s">
        <v>818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819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>
        <v>1</v>
      </c>
      <c r="X239" t="s">
        <v>2765</v>
      </c>
      <c r="Y239">
        <f t="shared" si="31"/>
        <v>0</v>
      </c>
      <c r="Z239">
        <f t="shared" si="32"/>
        <v>20972.7</v>
      </c>
      <c r="AA239">
        <f t="shared" si="33"/>
        <v>7467.8200000000015</v>
      </c>
      <c r="AB239" s="7">
        <f t="shared" si="34"/>
        <v>0.35607337157352181</v>
      </c>
      <c r="AC239" t="str">
        <f t="shared" si="35"/>
        <v>August</v>
      </c>
      <c r="AD239">
        <f t="shared" si="36"/>
        <v>2024</v>
      </c>
      <c r="AE239" t="str">
        <f t="shared" si="37"/>
        <v>Clean</v>
      </c>
      <c r="AF239" t="str">
        <f t="shared" si="38"/>
        <v>Match</v>
      </c>
      <c r="AG239" t="str">
        <f t="shared" si="39"/>
        <v>Match</v>
      </c>
    </row>
    <row r="240" spans="1:33">
      <c r="A240" t="s">
        <v>820</v>
      </c>
      <c r="B240" s="3">
        <v>45303</v>
      </c>
      <c r="C240" s="3">
        <v>45308</v>
      </c>
      <c r="D240">
        <f t="shared" si="30"/>
        <v>5</v>
      </c>
      <c r="E240" t="s">
        <v>821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822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>
        <v>1</v>
      </c>
      <c r="X240" t="s">
        <v>2765</v>
      </c>
      <c r="Y240">
        <f t="shared" si="31"/>
        <v>0.55000000000000004</v>
      </c>
      <c r="Z240">
        <f t="shared" si="32"/>
        <v>12615.907499999999</v>
      </c>
      <c r="AA240">
        <f t="shared" si="33"/>
        <v>-6222.8425000000007</v>
      </c>
      <c r="AB240" s="7">
        <f t="shared" si="34"/>
        <v>-0.4932536561480021</v>
      </c>
      <c r="AC240" t="str">
        <f t="shared" si="35"/>
        <v>January</v>
      </c>
      <c r="AD240">
        <f t="shared" si="36"/>
        <v>2024</v>
      </c>
      <c r="AE240" t="str">
        <f t="shared" si="37"/>
        <v>Clean</v>
      </c>
      <c r="AF240" t="str">
        <f t="shared" si="38"/>
        <v>Mismatch</v>
      </c>
      <c r="AG240" t="str">
        <f t="shared" si="39"/>
        <v>Mismatch</v>
      </c>
    </row>
    <row r="241" spans="1:33">
      <c r="A241" t="s">
        <v>823</v>
      </c>
      <c r="B241" s="3">
        <v>45556</v>
      </c>
      <c r="C241" s="3">
        <v>45556</v>
      </c>
      <c r="D241">
        <f t="shared" si="30"/>
        <v>0</v>
      </c>
      <c r="E241" t="s">
        <v>824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825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>
        <v>1</v>
      </c>
      <c r="X241" t="s">
        <v>2765</v>
      </c>
      <c r="Y241">
        <f t="shared" si="31"/>
        <v>0.2</v>
      </c>
      <c r="Z241">
        <f t="shared" si="32"/>
        <v>3136.096</v>
      </c>
      <c r="AA241">
        <f t="shared" si="33"/>
        <v>856.60600000000022</v>
      </c>
      <c r="AB241" s="7">
        <f t="shared" si="34"/>
        <v>0.273144061916472</v>
      </c>
      <c r="AC241" t="str">
        <f t="shared" si="35"/>
        <v>September</v>
      </c>
      <c r="AD241">
        <f t="shared" si="36"/>
        <v>2024</v>
      </c>
      <c r="AE241" t="str">
        <f t="shared" si="37"/>
        <v>Clean</v>
      </c>
      <c r="AF241" t="str">
        <f t="shared" si="38"/>
        <v>Match</v>
      </c>
      <c r="AG241" t="str">
        <f t="shared" si="39"/>
        <v>Match</v>
      </c>
    </row>
    <row r="242" spans="1:33">
      <c r="A242" t="s">
        <v>826</v>
      </c>
      <c r="B242" s="3">
        <v>45643</v>
      </c>
      <c r="C242" s="3">
        <v>45649</v>
      </c>
      <c r="D242">
        <f t="shared" si="30"/>
        <v>6</v>
      </c>
      <c r="E242" t="s">
        <v>827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828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>
        <v>1</v>
      </c>
      <c r="X242" t="s">
        <v>2765</v>
      </c>
      <c r="Y242">
        <f t="shared" si="31"/>
        <v>0</v>
      </c>
      <c r="Z242">
        <f t="shared" si="32"/>
        <v>20835.899999999998</v>
      </c>
      <c r="AA242">
        <f t="shared" si="33"/>
        <v>6907.7099999999973</v>
      </c>
      <c r="AB242" s="7">
        <f t="shared" si="34"/>
        <v>0.33152923559817421</v>
      </c>
      <c r="AC242" t="str">
        <f t="shared" si="35"/>
        <v>December</v>
      </c>
      <c r="AD242">
        <f t="shared" si="36"/>
        <v>2024</v>
      </c>
      <c r="AE242" t="str">
        <f t="shared" si="37"/>
        <v>Clean</v>
      </c>
      <c r="AF242" t="str">
        <f t="shared" si="38"/>
        <v>Match</v>
      </c>
      <c r="AG242" t="str">
        <f t="shared" si="39"/>
        <v>Match</v>
      </c>
    </row>
    <row r="243" spans="1:33">
      <c r="A243" t="s">
        <v>829</v>
      </c>
      <c r="B243" s="3">
        <v>45844</v>
      </c>
      <c r="C243" s="3">
        <v>45844</v>
      </c>
      <c r="D243">
        <f t="shared" si="30"/>
        <v>0</v>
      </c>
      <c r="E243" t="s">
        <v>830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831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>
        <v>1</v>
      </c>
      <c r="X243" t="s">
        <v>2765</v>
      </c>
      <c r="Y243">
        <f t="shared" si="31"/>
        <v>0.25</v>
      </c>
      <c r="Z243">
        <f t="shared" si="32"/>
        <v>1212.9000000000001</v>
      </c>
      <c r="AA243">
        <f t="shared" si="33"/>
        <v>522.38000000000011</v>
      </c>
      <c r="AB243" s="7">
        <f t="shared" si="34"/>
        <v>0.4306867837414462</v>
      </c>
      <c r="AC243" t="str">
        <f t="shared" si="35"/>
        <v>July</v>
      </c>
      <c r="AD243">
        <f t="shared" si="36"/>
        <v>2025</v>
      </c>
      <c r="AE243" t="str">
        <f t="shared" si="37"/>
        <v>Clean</v>
      </c>
      <c r="AF243" t="str">
        <f t="shared" si="38"/>
        <v>Match</v>
      </c>
      <c r="AG243" t="str">
        <f t="shared" si="39"/>
        <v>Match</v>
      </c>
    </row>
    <row r="244" spans="1:33">
      <c r="A244" t="s">
        <v>832</v>
      </c>
      <c r="B244" s="3">
        <v>45695</v>
      </c>
      <c r="C244" s="3">
        <v>45695</v>
      </c>
      <c r="D244">
        <f t="shared" si="30"/>
        <v>0</v>
      </c>
      <c r="E244" t="s">
        <v>833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834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>
        <v>1</v>
      </c>
      <c r="X244" t="s">
        <v>2765</v>
      </c>
      <c r="Y244">
        <f t="shared" si="31"/>
        <v>0.05</v>
      </c>
      <c r="Z244">
        <f t="shared" si="32"/>
        <v>5697.8339999999998</v>
      </c>
      <c r="AA244">
        <f t="shared" si="33"/>
        <v>1446.3339999999998</v>
      </c>
      <c r="AB244" s="7">
        <f t="shared" si="34"/>
        <v>0.25383926593860051</v>
      </c>
      <c r="AC244" t="str">
        <f t="shared" si="35"/>
        <v>February</v>
      </c>
      <c r="AD244">
        <f t="shared" si="36"/>
        <v>2025</v>
      </c>
      <c r="AE244" t="str">
        <f t="shared" si="37"/>
        <v>Clean</v>
      </c>
      <c r="AF244" t="str">
        <f t="shared" si="38"/>
        <v>Match</v>
      </c>
      <c r="AG244" t="str">
        <f t="shared" si="39"/>
        <v>Match</v>
      </c>
    </row>
    <row r="245" spans="1:33">
      <c r="A245" t="s">
        <v>835</v>
      </c>
      <c r="B245" s="3">
        <v>45867</v>
      </c>
      <c r="C245" s="3">
        <v>45871</v>
      </c>
      <c r="D245">
        <f t="shared" si="30"/>
        <v>4</v>
      </c>
      <c r="E245" t="s">
        <v>836</v>
      </c>
      <c r="F245" t="s">
        <v>132</v>
      </c>
      <c r="G245" t="s">
        <v>37</v>
      </c>
      <c r="H245" t="s">
        <v>2760</v>
      </c>
      <c r="I245" t="s">
        <v>72</v>
      </c>
      <c r="J245" t="s">
        <v>73</v>
      </c>
      <c r="K245" t="s">
        <v>74</v>
      </c>
      <c r="L245" t="s">
        <v>75</v>
      </c>
      <c r="M245" t="s">
        <v>837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>
        <v>1</v>
      </c>
      <c r="X245" t="s">
        <v>2765</v>
      </c>
      <c r="Y245">
        <f t="shared" si="31"/>
        <v>0.1</v>
      </c>
      <c r="Z245">
        <f t="shared" si="32"/>
        <v>4049.5140000000001</v>
      </c>
      <c r="AA245">
        <f t="shared" si="33"/>
        <v>1540.3140000000003</v>
      </c>
      <c r="AB245" s="7">
        <f t="shared" si="34"/>
        <v>0.38037008885510715</v>
      </c>
      <c r="AC245" t="str">
        <f t="shared" si="35"/>
        <v>July</v>
      </c>
      <c r="AD245">
        <f t="shared" si="36"/>
        <v>2025</v>
      </c>
      <c r="AE245" t="str">
        <f t="shared" si="37"/>
        <v>Clean</v>
      </c>
      <c r="AF245" t="str">
        <f t="shared" si="38"/>
        <v>Match</v>
      </c>
      <c r="AG245" t="str">
        <f t="shared" si="39"/>
        <v>Match</v>
      </c>
    </row>
    <row r="246" spans="1:33">
      <c r="A246" t="s">
        <v>838</v>
      </c>
      <c r="B246" s="3">
        <v>45527</v>
      </c>
      <c r="C246" s="3">
        <v>45528</v>
      </c>
      <c r="D246">
        <f t="shared" si="30"/>
        <v>1</v>
      </c>
      <c r="E246" t="s">
        <v>839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840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>
        <v>1</v>
      </c>
      <c r="X246" t="s">
        <v>2765</v>
      </c>
      <c r="Y246">
        <f t="shared" si="31"/>
        <v>0</v>
      </c>
      <c r="Z246">
        <f t="shared" si="32"/>
        <v>6131.34</v>
      </c>
      <c r="AA246">
        <f t="shared" si="33"/>
        <v>2070.46</v>
      </c>
      <c r="AB246" s="7">
        <f t="shared" si="34"/>
        <v>0.33768474754295147</v>
      </c>
      <c r="AC246" t="str">
        <f t="shared" si="35"/>
        <v>August</v>
      </c>
      <c r="AD246">
        <f t="shared" si="36"/>
        <v>2024</v>
      </c>
      <c r="AE246" t="str">
        <f t="shared" si="37"/>
        <v>Clean</v>
      </c>
      <c r="AF246" t="str">
        <f t="shared" si="38"/>
        <v>Match</v>
      </c>
      <c r="AG246" t="str">
        <f t="shared" si="39"/>
        <v>Match</v>
      </c>
    </row>
    <row r="247" spans="1:33">
      <c r="A247" t="s">
        <v>841</v>
      </c>
      <c r="B247" s="3">
        <v>45583</v>
      </c>
      <c r="C247" s="3">
        <v>45589</v>
      </c>
      <c r="D247">
        <f t="shared" si="30"/>
        <v>6</v>
      </c>
      <c r="E247" t="s">
        <v>842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843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>
        <v>1</v>
      </c>
      <c r="X247" t="s">
        <v>2765</v>
      </c>
      <c r="Y247">
        <f t="shared" si="31"/>
        <v>0</v>
      </c>
      <c r="Z247">
        <f t="shared" si="32"/>
        <v>9827.7899999999991</v>
      </c>
      <c r="AA247">
        <f t="shared" si="33"/>
        <v>4349.5099999999993</v>
      </c>
      <c r="AB247" s="7">
        <f t="shared" si="34"/>
        <v>0.44257254174132737</v>
      </c>
      <c r="AC247" t="str">
        <f t="shared" si="35"/>
        <v>October</v>
      </c>
      <c r="AD247">
        <f t="shared" si="36"/>
        <v>2024</v>
      </c>
      <c r="AE247" t="str">
        <f t="shared" si="37"/>
        <v>Clean</v>
      </c>
      <c r="AF247" t="str">
        <f t="shared" si="38"/>
        <v>Match</v>
      </c>
      <c r="AG247" t="str">
        <f t="shared" si="39"/>
        <v>Match</v>
      </c>
    </row>
    <row r="248" spans="1:33">
      <c r="A248" t="s">
        <v>844</v>
      </c>
      <c r="B248" s="3">
        <v>45416</v>
      </c>
      <c r="C248" s="3">
        <v>45421</v>
      </c>
      <c r="D248">
        <f t="shared" si="30"/>
        <v>5</v>
      </c>
      <c r="E248" t="s">
        <v>845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846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>
        <v>1</v>
      </c>
      <c r="X248" t="s">
        <v>2765</v>
      </c>
      <c r="Y248">
        <f t="shared" si="31"/>
        <v>0.25</v>
      </c>
      <c r="Z248">
        <f t="shared" si="32"/>
        <v>521.88749999999993</v>
      </c>
      <c r="AA248">
        <f t="shared" si="33"/>
        <v>77.36749999999995</v>
      </c>
      <c r="AB248" s="7">
        <f t="shared" si="34"/>
        <v>0.14824555100476627</v>
      </c>
      <c r="AC248" t="str">
        <f t="shared" si="35"/>
        <v>May</v>
      </c>
      <c r="AD248">
        <f t="shared" si="36"/>
        <v>2024</v>
      </c>
      <c r="AE248" t="str">
        <f t="shared" si="37"/>
        <v>Clean</v>
      </c>
      <c r="AF248" t="str">
        <f t="shared" si="38"/>
        <v>Match</v>
      </c>
      <c r="AG248" t="str">
        <f t="shared" si="39"/>
        <v>Match</v>
      </c>
    </row>
    <row r="249" spans="1:33">
      <c r="A249" t="s">
        <v>847</v>
      </c>
      <c r="B249" s="3">
        <v>45498</v>
      </c>
      <c r="C249" s="3">
        <v>45505</v>
      </c>
      <c r="D249">
        <f t="shared" si="30"/>
        <v>7</v>
      </c>
      <c r="E249" t="s">
        <v>848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849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>
        <v>1</v>
      </c>
      <c r="X249" t="s">
        <v>2765</v>
      </c>
      <c r="Y249">
        <f t="shared" si="31"/>
        <v>0.25</v>
      </c>
      <c r="Z249">
        <f t="shared" si="32"/>
        <v>14960.400000000001</v>
      </c>
      <c r="AA249">
        <f t="shared" si="33"/>
        <v>2459.5600000000013</v>
      </c>
      <c r="AB249" s="7">
        <f t="shared" si="34"/>
        <v>0.16440469506162944</v>
      </c>
      <c r="AC249" t="str">
        <f t="shared" si="35"/>
        <v>July</v>
      </c>
      <c r="AD249">
        <f t="shared" si="36"/>
        <v>2024</v>
      </c>
      <c r="AE249" t="str">
        <f t="shared" si="37"/>
        <v>Clean</v>
      </c>
      <c r="AF249" t="str">
        <f t="shared" si="38"/>
        <v>Match</v>
      </c>
      <c r="AG249" t="str">
        <f t="shared" si="39"/>
        <v>Match</v>
      </c>
    </row>
    <row r="250" spans="1:33">
      <c r="A250" t="s">
        <v>850</v>
      </c>
      <c r="B250" s="3">
        <v>45445</v>
      </c>
      <c r="C250" s="3">
        <v>45450</v>
      </c>
      <c r="D250">
        <f t="shared" si="30"/>
        <v>5</v>
      </c>
      <c r="E250" t="s">
        <v>851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852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>
        <v>1</v>
      </c>
      <c r="X250" t="s">
        <v>2765</v>
      </c>
      <c r="Y250">
        <f t="shared" si="31"/>
        <v>0.15</v>
      </c>
      <c r="Z250">
        <f t="shared" si="32"/>
        <v>6027.5114999999996</v>
      </c>
      <c r="AA250">
        <f t="shared" si="33"/>
        <v>1143.6914999999999</v>
      </c>
      <c r="AB250" s="7">
        <f t="shared" si="34"/>
        <v>0.18974522072666306</v>
      </c>
      <c r="AC250" t="str">
        <f t="shared" si="35"/>
        <v>June</v>
      </c>
      <c r="AD250">
        <f t="shared" si="36"/>
        <v>2024</v>
      </c>
      <c r="AE250" t="str">
        <f t="shared" si="37"/>
        <v>Clean</v>
      </c>
      <c r="AF250" t="str">
        <f t="shared" si="38"/>
        <v>Match</v>
      </c>
      <c r="AG250" t="str">
        <f t="shared" si="39"/>
        <v>Match</v>
      </c>
    </row>
    <row r="251" spans="1:33">
      <c r="A251" t="s">
        <v>853</v>
      </c>
      <c r="B251" s="3">
        <v>45870</v>
      </c>
      <c r="C251" s="3">
        <v>45871</v>
      </c>
      <c r="D251">
        <f t="shared" si="30"/>
        <v>1</v>
      </c>
      <c r="E251" t="s">
        <v>854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855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>
        <v>1</v>
      </c>
      <c r="X251" t="s">
        <v>2765</v>
      </c>
      <c r="Y251">
        <f t="shared" si="31"/>
        <v>0.2</v>
      </c>
      <c r="Z251">
        <f t="shared" si="32"/>
        <v>8928.9279999999999</v>
      </c>
      <c r="AA251">
        <f t="shared" si="33"/>
        <v>3294.5479999999998</v>
      </c>
      <c r="AB251" s="7">
        <f t="shared" si="34"/>
        <v>0.36897464062875185</v>
      </c>
      <c r="AC251" t="str">
        <f t="shared" si="35"/>
        <v>August</v>
      </c>
      <c r="AD251">
        <f t="shared" si="36"/>
        <v>2025</v>
      </c>
      <c r="AE251" t="str">
        <f t="shared" si="37"/>
        <v>Clean</v>
      </c>
      <c r="AF251" t="str">
        <f t="shared" si="38"/>
        <v>Match</v>
      </c>
      <c r="AG251" t="str">
        <f t="shared" si="39"/>
        <v>Match</v>
      </c>
    </row>
    <row r="252" spans="1:33">
      <c r="A252" t="s">
        <v>856</v>
      </c>
      <c r="B252" s="3">
        <v>45343</v>
      </c>
      <c r="C252" s="3">
        <v>45349</v>
      </c>
      <c r="D252">
        <f t="shared" si="30"/>
        <v>6</v>
      </c>
      <c r="E252" t="s">
        <v>857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858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>
        <v>1</v>
      </c>
      <c r="X252" t="s">
        <v>2765</v>
      </c>
      <c r="Y252">
        <f t="shared" si="31"/>
        <v>0.15</v>
      </c>
      <c r="Z252">
        <f t="shared" si="32"/>
        <v>14338.904999999999</v>
      </c>
      <c r="AA252">
        <f t="shared" si="33"/>
        <v>2441.2549999999992</v>
      </c>
      <c r="AB252" s="7">
        <f t="shared" si="34"/>
        <v>0.17025393501107647</v>
      </c>
      <c r="AC252" t="str">
        <f t="shared" si="35"/>
        <v>February</v>
      </c>
      <c r="AD252">
        <f t="shared" si="36"/>
        <v>2024</v>
      </c>
      <c r="AE252" t="str">
        <f t="shared" si="37"/>
        <v>Clean</v>
      </c>
      <c r="AF252" t="str">
        <f t="shared" si="38"/>
        <v>Match</v>
      </c>
      <c r="AG252" t="str">
        <f t="shared" si="39"/>
        <v>Match</v>
      </c>
    </row>
    <row r="253" spans="1:33">
      <c r="A253" t="s">
        <v>859</v>
      </c>
      <c r="B253" s="3">
        <v>45753</v>
      </c>
      <c r="C253" s="3">
        <v>45757</v>
      </c>
      <c r="D253">
        <f t="shared" si="30"/>
        <v>4</v>
      </c>
      <c r="E253" t="s">
        <v>860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861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>
        <v>1</v>
      </c>
      <c r="X253" t="s">
        <v>2765</v>
      </c>
      <c r="Y253">
        <f t="shared" si="31"/>
        <v>0</v>
      </c>
      <c r="Z253">
        <f t="shared" si="32"/>
        <v>6132.96</v>
      </c>
      <c r="AA253">
        <f t="shared" si="33"/>
        <v>1251.8599999999997</v>
      </c>
      <c r="AB253" s="7">
        <f t="shared" si="34"/>
        <v>0.20412003339333692</v>
      </c>
      <c r="AC253" t="str">
        <f t="shared" si="35"/>
        <v>April</v>
      </c>
      <c r="AD253">
        <f t="shared" si="36"/>
        <v>2025</v>
      </c>
      <c r="AE253" t="str">
        <f t="shared" si="37"/>
        <v>Clean</v>
      </c>
      <c r="AF253" t="str">
        <f t="shared" si="38"/>
        <v>Match</v>
      </c>
      <c r="AG253" t="str">
        <f t="shared" si="39"/>
        <v>Match</v>
      </c>
    </row>
    <row r="254" spans="1:33">
      <c r="A254" t="s">
        <v>862</v>
      </c>
      <c r="B254" s="3">
        <v>45833</v>
      </c>
      <c r="C254" s="3">
        <v>45836</v>
      </c>
      <c r="D254">
        <f t="shared" si="30"/>
        <v>3</v>
      </c>
      <c r="E254" t="s">
        <v>863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864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>
        <v>1</v>
      </c>
      <c r="X254" t="s">
        <v>2765</v>
      </c>
      <c r="Y254">
        <f t="shared" si="31"/>
        <v>0.2</v>
      </c>
      <c r="Z254">
        <f t="shared" si="32"/>
        <v>2329.4720000000002</v>
      </c>
      <c r="AA254">
        <f t="shared" si="33"/>
        <v>725.85200000000032</v>
      </c>
      <c r="AB254" s="7">
        <f t="shared" si="34"/>
        <v>0.31159507390515973</v>
      </c>
      <c r="AC254" t="str">
        <f t="shared" si="35"/>
        <v>June</v>
      </c>
      <c r="AD254">
        <f t="shared" si="36"/>
        <v>2025</v>
      </c>
      <c r="AE254" t="str">
        <f t="shared" si="37"/>
        <v>Clean</v>
      </c>
      <c r="AF254" t="str">
        <f t="shared" si="38"/>
        <v>Match</v>
      </c>
      <c r="AG254" t="str">
        <f t="shared" si="39"/>
        <v>Match</v>
      </c>
    </row>
    <row r="255" spans="1:33">
      <c r="A255" t="s">
        <v>865</v>
      </c>
      <c r="B255" s="3">
        <v>45547</v>
      </c>
      <c r="C255" s="3">
        <v>45548</v>
      </c>
      <c r="D255">
        <f t="shared" si="30"/>
        <v>1</v>
      </c>
      <c r="E255" t="s">
        <v>866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867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>
        <v>1</v>
      </c>
      <c r="X255" t="s">
        <v>2765</v>
      </c>
      <c r="Y255">
        <f t="shared" si="31"/>
        <v>0.05</v>
      </c>
      <c r="Z255">
        <f t="shared" si="32"/>
        <v>4746.9029999999993</v>
      </c>
      <c r="AA255">
        <f t="shared" si="33"/>
        <v>1921.5229999999992</v>
      </c>
      <c r="AB255" s="7">
        <f t="shared" si="34"/>
        <v>0.40479508428969363</v>
      </c>
      <c r="AC255" t="str">
        <f t="shared" si="35"/>
        <v>September</v>
      </c>
      <c r="AD255">
        <f t="shared" si="36"/>
        <v>2024</v>
      </c>
      <c r="AE255" t="str">
        <f t="shared" si="37"/>
        <v>Clean</v>
      </c>
      <c r="AF255" t="str">
        <f t="shared" si="38"/>
        <v>Match</v>
      </c>
      <c r="AG255" t="str">
        <f t="shared" si="39"/>
        <v>Mismatch</v>
      </c>
    </row>
    <row r="256" spans="1:33">
      <c r="A256" t="s">
        <v>868</v>
      </c>
      <c r="B256" s="3">
        <v>45658</v>
      </c>
      <c r="C256" s="3">
        <v>45660</v>
      </c>
      <c r="D256">
        <f t="shared" si="30"/>
        <v>2</v>
      </c>
      <c r="E256" t="s">
        <v>869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870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>
        <v>1</v>
      </c>
      <c r="X256" t="s">
        <v>2765</v>
      </c>
      <c r="Y256">
        <f t="shared" si="31"/>
        <v>0.2</v>
      </c>
      <c r="Z256">
        <f t="shared" si="32"/>
        <v>5603.08</v>
      </c>
      <c r="AA256">
        <f t="shared" si="33"/>
        <v>2470.56</v>
      </c>
      <c r="AB256" s="7">
        <f t="shared" si="34"/>
        <v>0.44092891766671188</v>
      </c>
      <c r="AC256" t="str">
        <f t="shared" si="35"/>
        <v>January</v>
      </c>
      <c r="AD256">
        <f t="shared" si="36"/>
        <v>2025</v>
      </c>
      <c r="AE256" t="str">
        <f t="shared" si="37"/>
        <v>Clean</v>
      </c>
      <c r="AF256" t="str">
        <f t="shared" si="38"/>
        <v>Match</v>
      </c>
      <c r="AG256" t="str">
        <f t="shared" si="39"/>
        <v>Match</v>
      </c>
    </row>
    <row r="257" spans="1:33">
      <c r="A257" t="s">
        <v>871</v>
      </c>
      <c r="B257" s="3">
        <v>45692</v>
      </c>
      <c r="C257" s="3">
        <v>45698</v>
      </c>
      <c r="D257">
        <f t="shared" si="30"/>
        <v>6</v>
      </c>
      <c r="E257" t="s">
        <v>872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873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>
        <v>1</v>
      </c>
      <c r="X257" t="s">
        <v>2765</v>
      </c>
      <c r="Y257">
        <f t="shared" si="31"/>
        <v>0</v>
      </c>
      <c r="Z257">
        <f t="shared" si="32"/>
        <v>12810</v>
      </c>
      <c r="AA257">
        <f t="shared" si="33"/>
        <v>3475.8799999999992</v>
      </c>
      <c r="AB257" s="7">
        <f t="shared" si="34"/>
        <v>0.27134113973458229</v>
      </c>
      <c r="AC257" t="str">
        <f t="shared" si="35"/>
        <v>February</v>
      </c>
      <c r="AD257">
        <f t="shared" si="36"/>
        <v>2025</v>
      </c>
      <c r="AE257" t="str">
        <f t="shared" si="37"/>
        <v>Clean</v>
      </c>
      <c r="AF257" t="str">
        <f t="shared" si="38"/>
        <v>Match</v>
      </c>
      <c r="AG257" t="str">
        <f t="shared" si="39"/>
        <v>Match</v>
      </c>
    </row>
    <row r="258" spans="1:33">
      <c r="A258" t="s">
        <v>874</v>
      </c>
      <c r="B258" s="3">
        <v>45601</v>
      </c>
      <c r="C258" s="3">
        <v>45599</v>
      </c>
      <c r="D258">
        <f t="shared" ref="D258:D321" si="40">C258-B258</f>
        <v>-2</v>
      </c>
      <c r="E258" t="s">
        <v>875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876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>
        <v>1</v>
      </c>
      <c r="X258" t="s">
        <v>2765</v>
      </c>
      <c r="Y258">
        <f t="shared" si="31"/>
        <v>0.05</v>
      </c>
      <c r="Z258">
        <f t="shared" si="32"/>
        <v>19328.215500000002</v>
      </c>
      <c r="AA258">
        <f t="shared" si="33"/>
        <v>7288.7155000000021</v>
      </c>
      <c r="AB258" s="7">
        <f t="shared" si="34"/>
        <v>0.3771023507058891</v>
      </c>
      <c r="AC258" t="str">
        <f t="shared" si="35"/>
        <v>November</v>
      </c>
      <c r="AD258">
        <f t="shared" si="36"/>
        <v>2024</v>
      </c>
      <c r="AE258" t="str">
        <f t="shared" si="37"/>
        <v>Invalid</v>
      </c>
      <c r="AF258" t="str">
        <f t="shared" si="38"/>
        <v>Match</v>
      </c>
      <c r="AG258" t="str">
        <f t="shared" si="39"/>
        <v>Match</v>
      </c>
    </row>
    <row r="259" spans="1:33">
      <c r="A259" t="s">
        <v>877</v>
      </c>
      <c r="B259" s="3">
        <v>45878</v>
      </c>
      <c r="C259" s="3">
        <v>45881</v>
      </c>
      <c r="D259">
        <f t="shared" si="40"/>
        <v>3</v>
      </c>
      <c r="E259" t="s">
        <v>878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879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>
        <v>1</v>
      </c>
      <c r="X259" t="s">
        <v>2765</v>
      </c>
      <c r="Y259">
        <f t="shared" ref="Y259:Y322" si="41">IF(
Q259="",
0,
IF(Q259&gt;1,
Q259/100,
Q259)
)</f>
        <v>0</v>
      </c>
      <c r="Z259">
        <f t="shared" ref="Z259:Z322" si="42">O259*P259*(1-Y259)</f>
        <v>6474.54</v>
      </c>
      <c r="AA259">
        <f t="shared" ref="AA259:AA322" si="43">Z259-S259</f>
        <v>1378.63</v>
      </c>
      <c r="AB259" s="7">
        <f t="shared" ref="AB259:AB322" si="44">IF(Z259=0,0,
AA259/Z259)</f>
        <v>0.21293095725719513</v>
      </c>
      <c r="AC259" t="str">
        <f t="shared" ref="AC259:AC322" si="45">TEXT(B259,"mmmm")</f>
        <v>August</v>
      </c>
      <c r="AD259">
        <f t="shared" ref="AD259:AD322" si="46">YEAR(B259)</f>
        <v>2025</v>
      </c>
      <c r="AE259" t="str">
        <f t="shared" ref="AE259:AE322" si="47">IF(
OR(
Y259&lt;0,
D259&lt;0
),
"Invalid",
IF(
X259="Review Required",
"Warning",
"Clean"
)
)</f>
        <v>Clean</v>
      </c>
      <c r="AF259" t="str">
        <f t="shared" ref="AF259:AF322" si="48">IF(ABS(R259-Z259)&gt;0.01,
"Mismatch",
"Match")</f>
        <v>Match</v>
      </c>
      <c r="AG259" t="str">
        <f t="shared" ref="AG259:AG322" si="49">IF(ABS(T259-AA259)&gt;0.01,
"Mismatch",
"Match")</f>
        <v>Match</v>
      </c>
    </row>
    <row r="260" spans="1:33">
      <c r="A260" t="s">
        <v>880</v>
      </c>
      <c r="B260" s="3">
        <v>45656</v>
      </c>
      <c r="C260" s="3">
        <v>45661</v>
      </c>
      <c r="D260">
        <f t="shared" si="40"/>
        <v>5</v>
      </c>
      <c r="E260" t="s">
        <v>881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882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>
        <v>1</v>
      </c>
      <c r="X260" t="s">
        <v>2765</v>
      </c>
      <c r="Y260">
        <f t="shared" si="41"/>
        <v>0.25</v>
      </c>
      <c r="Z260">
        <f t="shared" si="42"/>
        <v>5580.1050000000005</v>
      </c>
      <c r="AA260">
        <f t="shared" si="43"/>
        <v>1273.0950000000003</v>
      </c>
      <c r="AB260" s="7">
        <f t="shared" si="44"/>
        <v>0.22814893268137429</v>
      </c>
      <c r="AC260" t="str">
        <f t="shared" si="45"/>
        <v>December</v>
      </c>
      <c r="AD260">
        <f t="shared" si="46"/>
        <v>2024</v>
      </c>
      <c r="AE260" t="str">
        <f t="shared" si="47"/>
        <v>Clean</v>
      </c>
      <c r="AF260" t="str">
        <f t="shared" si="48"/>
        <v>Match</v>
      </c>
      <c r="AG260" t="str">
        <f t="shared" si="49"/>
        <v>Match</v>
      </c>
    </row>
    <row r="261" spans="1:33">
      <c r="A261" t="s">
        <v>883</v>
      </c>
      <c r="B261" s="3">
        <v>45464</v>
      </c>
      <c r="C261" s="3">
        <v>45472</v>
      </c>
      <c r="D261">
        <f t="shared" si="40"/>
        <v>8</v>
      </c>
      <c r="E261" t="s">
        <v>884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885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>
        <v>1</v>
      </c>
      <c r="X261" t="s">
        <v>2765</v>
      </c>
      <c r="Y261">
        <f t="shared" si="41"/>
        <v>0.2</v>
      </c>
      <c r="Z261">
        <f t="shared" si="42"/>
        <v>18265.088</v>
      </c>
      <c r="AA261">
        <f t="shared" si="43"/>
        <v>7827.9480000000003</v>
      </c>
      <c r="AB261" s="7">
        <f t="shared" si="44"/>
        <v>0.42857433810338064</v>
      </c>
      <c r="AC261" t="str">
        <f t="shared" si="45"/>
        <v>June</v>
      </c>
      <c r="AD261">
        <f t="shared" si="46"/>
        <v>2024</v>
      </c>
      <c r="AE261" t="str">
        <f t="shared" si="47"/>
        <v>Clean</v>
      </c>
      <c r="AF261" t="str">
        <f t="shared" si="48"/>
        <v>Match</v>
      </c>
      <c r="AG261" t="str">
        <f t="shared" si="49"/>
        <v>Match</v>
      </c>
    </row>
    <row r="262" spans="1:33">
      <c r="A262" t="s">
        <v>886</v>
      </c>
      <c r="B262" s="3">
        <v>45923</v>
      </c>
      <c r="C262" s="3">
        <v>45927</v>
      </c>
      <c r="D262">
        <f t="shared" si="40"/>
        <v>4</v>
      </c>
      <c r="E262" t="s">
        <v>887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888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>
        <v>1</v>
      </c>
      <c r="X262" t="s">
        <v>2765</v>
      </c>
      <c r="Y262">
        <f t="shared" si="41"/>
        <v>0.25</v>
      </c>
      <c r="Z262">
        <f t="shared" si="42"/>
        <v>15209.880000000001</v>
      </c>
      <c r="AA262">
        <f t="shared" si="43"/>
        <v>4318.7300000000014</v>
      </c>
      <c r="AB262" s="7">
        <f t="shared" si="44"/>
        <v>0.28394241111698454</v>
      </c>
      <c r="AC262" t="str">
        <f t="shared" si="45"/>
        <v>September</v>
      </c>
      <c r="AD262">
        <f t="shared" si="46"/>
        <v>2025</v>
      </c>
      <c r="AE262" t="str">
        <f t="shared" si="47"/>
        <v>Clean</v>
      </c>
      <c r="AF262" t="str">
        <f t="shared" si="48"/>
        <v>Match</v>
      </c>
      <c r="AG262" t="str">
        <f t="shared" si="49"/>
        <v>Match</v>
      </c>
    </row>
    <row r="263" spans="1:33">
      <c r="A263" t="s">
        <v>889</v>
      </c>
      <c r="B263" s="3">
        <v>45826</v>
      </c>
      <c r="C263" s="3">
        <v>45832</v>
      </c>
      <c r="D263">
        <f t="shared" si="40"/>
        <v>6</v>
      </c>
      <c r="E263" t="s">
        <v>890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891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>
        <v>1</v>
      </c>
      <c r="X263" t="s">
        <v>2765</v>
      </c>
      <c r="Y263">
        <f t="shared" si="41"/>
        <v>0.2</v>
      </c>
      <c r="Z263">
        <f t="shared" si="42"/>
        <v>1648.1760000000004</v>
      </c>
      <c r="AA263">
        <f t="shared" si="43"/>
        <v>660.26600000000042</v>
      </c>
      <c r="AB263" s="7">
        <f t="shared" si="44"/>
        <v>0.40060406170214846</v>
      </c>
      <c r="AC263" t="str">
        <f t="shared" si="45"/>
        <v>June</v>
      </c>
      <c r="AD263">
        <f t="shared" si="46"/>
        <v>2025</v>
      </c>
      <c r="AE263" t="str">
        <f t="shared" si="47"/>
        <v>Clean</v>
      </c>
      <c r="AF263" t="str">
        <f t="shared" si="48"/>
        <v>Match</v>
      </c>
      <c r="AG263" t="str">
        <f t="shared" si="49"/>
        <v>Match</v>
      </c>
    </row>
    <row r="264" spans="1:33">
      <c r="A264" t="s">
        <v>892</v>
      </c>
      <c r="B264" s="3">
        <v>45803</v>
      </c>
      <c r="C264" s="3">
        <v>45809</v>
      </c>
      <c r="D264">
        <f t="shared" si="40"/>
        <v>6</v>
      </c>
      <c r="E264" t="s">
        <v>628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893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>
        <v>1</v>
      </c>
      <c r="X264" t="s">
        <v>2765</v>
      </c>
      <c r="Y264">
        <f t="shared" si="41"/>
        <v>0</v>
      </c>
      <c r="Z264">
        <f t="shared" si="42"/>
        <v>13399.44</v>
      </c>
      <c r="AA264">
        <f t="shared" si="43"/>
        <v>4818.09</v>
      </c>
      <c r="AB264" s="7">
        <f t="shared" si="44"/>
        <v>0.3595739821962709</v>
      </c>
      <c r="AC264" t="str">
        <f t="shared" si="45"/>
        <v>May</v>
      </c>
      <c r="AD264">
        <f t="shared" si="46"/>
        <v>2025</v>
      </c>
      <c r="AE264" t="str">
        <f t="shared" si="47"/>
        <v>Clean</v>
      </c>
      <c r="AF264" t="str">
        <f t="shared" si="48"/>
        <v>Match</v>
      </c>
      <c r="AG264" t="str">
        <f t="shared" si="49"/>
        <v>Match</v>
      </c>
    </row>
    <row r="265" spans="1:33">
      <c r="A265" t="s">
        <v>894</v>
      </c>
      <c r="B265" s="3">
        <v>45875</v>
      </c>
      <c r="C265" s="3">
        <v>45879</v>
      </c>
      <c r="D265">
        <f t="shared" si="40"/>
        <v>4</v>
      </c>
      <c r="E265" t="s">
        <v>895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896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>
        <v>1</v>
      </c>
      <c r="X265" t="s">
        <v>2765</v>
      </c>
      <c r="Y265">
        <f t="shared" si="41"/>
        <v>0.1</v>
      </c>
      <c r="Z265">
        <f t="shared" si="42"/>
        <v>32743.844999999998</v>
      </c>
      <c r="AA265">
        <f t="shared" si="43"/>
        <v>10291.794999999998</v>
      </c>
      <c r="AB265" s="7">
        <f t="shared" si="44"/>
        <v>0.314312353970647</v>
      </c>
      <c r="AC265" t="str">
        <f t="shared" si="45"/>
        <v>August</v>
      </c>
      <c r="AD265">
        <f t="shared" si="46"/>
        <v>2025</v>
      </c>
      <c r="AE265" t="str">
        <f t="shared" si="47"/>
        <v>Clean</v>
      </c>
      <c r="AF265" t="str">
        <f t="shared" si="48"/>
        <v>Match</v>
      </c>
      <c r="AG265" t="str">
        <f t="shared" si="49"/>
        <v>Match</v>
      </c>
    </row>
    <row r="266" spans="1:33">
      <c r="A266" t="s">
        <v>897</v>
      </c>
      <c r="B266" s="3">
        <v>45428</v>
      </c>
      <c r="C266" s="3">
        <v>45433</v>
      </c>
      <c r="D266">
        <f t="shared" si="40"/>
        <v>5</v>
      </c>
      <c r="E266" t="s">
        <v>898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899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>
        <v>1</v>
      </c>
      <c r="X266" t="s">
        <v>2765</v>
      </c>
      <c r="Y266">
        <f t="shared" si="41"/>
        <v>0</v>
      </c>
      <c r="Z266">
        <f t="shared" si="42"/>
        <v>6012.28</v>
      </c>
      <c r="AA266">
        <f t="shared" si="43"/>
        <v>2084.64</v>
      </c>
      <c r="AB266" s="7">
        <f t="shared" si="44"/>
        <v>0.34673035853286938</v>
      </c>
      <c r="AC266" t="str">
        <f t="shared" si="45"/>
        <v>May</v>
      </c>
      <c r="AD266">
        <f t="shared" si="46"/>
        <v>2024</v>
      </c>
      <c r="AE266" t="str">
        <f t="shared" si="47"/>
        <v>Clean</v>
      </c>
      <c r="AF266" t="str">
        <f t="shared" si="48"/>
        <v>Match</v>
      </c>
      <c r="AG266" t="str">
        <f t="shared" si="49"/>
        <v>Match</v>
      </c>
    </row>
    <row r="267" spans="1:33">
      <c r="A267" t="s">
        <v>900</v>
      </c>
      <c r="B267" s="3">
        <v>45610</v>
      </c>
      <c r="C267" s="3">
        <v>45618</v>
      </c>
      <c r="D267">
        <f t="shared" si="40"/>
        <v>8</v>
      </c>
      <c r="E267" t="s">
        <v>901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902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>
        <v>1</v>
      </c>
      <c r="X267" t="s">
        <v>2765</v>
      </c>
      <c r="Y267">
        <f t="shared" si="41"/>
        <v>0.15</v>
      </c>
      <c r="Z267">
        <f t="shared" si="42"/>
        <v>495.0145</v>
      </c>
      <c r="AA267">
        <f t="shared" si="43"/>
        <v>209.8845</v>
      </c>
      <c r="AB267" s="7">
        <f t="shared" si="44"/>
        <v>0.42399667080459258</v>
      </c>
      <c r="AC267" t="str">
        <f t="shared" si="45"/>
        <v>November</v>
      </c>
      <c r="AD267">
        <f t="shared" si="46"/>
        <v>2024</v>
      </c>
      <c r="AE267" t="str">
        <f t="shared" si="47"/>
        <v>Clean</v>
      </c>
      <c r="AF267" t="str">
        <f t="shared" si="48"/>
        <v>Match</v>
      </c>
      <c r="AG267" t="str">
        <f t="shared" si="49"/>
        <v>Match</v>
      </c>
    </row>
    <row r="268" spans="1:33">
      <c r="A268" t="s">
        <v>903</v>
      </c>
      <c r="B268" s="3">
        <v>45780</v>
      </c>
      <c r="C268" s="3">
        <v>45787</v>
      </c>
      <c r="D268">
        <f t="shared" si="40"/>
        <v>7</v>
      </c>
      <c r="E268" t="s">
        <v>904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905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>
        <v>1</v>
      </c>
      <c r="X268" t="s">
        <v>2765</v>
      </c>
      <c r="Y268">
        <f t="shared" si="41"/>
        <v>0</v>
      </c>
      <c r="Z268">
        <f t="shared" si="42"/>
        <v>13017.72</v>
      </c>
      <c r="AA268">
        <f t="shared" si="43"/>
        <v>2847.1499999999996</v>
      </c>
      <c r="AB268" s="7">
        <f t="shared" si="44"/>
        <v>0.21871341525244051</v>
      </c>
      <c r="AC268" t="str">
        <f t="shared" si="45"/>
        <v>May</v>
      </c>
      <c r="AD268">
        <f t="shared" si="46"/>
        <v>2025</v>
      </c>
      <c r="AE268" t="str">
        <f t="shared" si="47"/>
        <v>Clean</v>
      </c>
      <c r="AF268" t="str">
        <f t="shared" si="48"/>
        <v>Match</v>
      </c>
      <c r="AG268" t="str">
        <f t="shared" si="49"/>
        <v>Match</v>
      </c>
    </row>
    <row r="269" spans="1:33">
      <c r="A269" t="s">
        <v>906</v>
      </c>
      <c r="B269" s="3">
        <v>45805</v>
      </c>
      <c r="C269" s="3">
        <v>45812</v>
      </c>
      <c r="D269">
        <f t="shared" si="40"/>
        <v>7</v>
      </c>
      <c r="E269" t="s">
        <v>907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908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>
        <v>1</v>
      </c>
      <c r="X269" t="s">
        <v>2765</v>
      </c>
      <c r="Y269">
        <f t="shared" si="41"/>
        <v>0.25</v>
      </c>
      <c r="Z269">
        <f t="shared" si="42"/>
        <v>785.40000000000009</v>
      </c>
      <c r="AA269">
        <f t="shared" si="43"/>
        <v>228.18000000000006</v>
      </c>
      <c r="AB269" s="7">
        <f t="shared" si="44"/>
        <v>0.29052711993888469</v>
      </c>
      <c r="AC269" t="str">
        <f t="shared" si="45"/>
        <v>May</v>
      </c>
      <c r="AD269">
        <f t="shared" si="46"/>
        <v>2025</v>
      </c>
      <c r="AE269" t="str">
        <f t="shared" si="47"/>
        <v>Clean</v>
      </c>
      <c r="AF269" t="str">
        <f t="shared" si="48"/>
        <v>Match</v>
      </c>
      <c r="AG269" t="str">
        <f t="shared" si="49"/>
        <v>Match</v>
      </c>
    </row>
    <row r="270" spans="1:33">
      <c r="A270" t="s">
        <v>909</v>
      </c>
      <c r="B270" s="3">
        <v>45886</v>
      </c>
      <c r="C270" s="3">
        <v>45886</v>
      </c>
      <c r="D270">
        <f t="shared" si="40"/>
        <v>0</v>
      </c>
      <c r="E270" t="s">
        <v>910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911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>
        <v>1</v>
      </c>
      <c r="X270" t="s">
        <v>2765</v>
      </c>
      <c r="Y270">
        <f t="shared" si="41"/>
        <v>0.25</v>
      </c>
      <c r="Z270">
        <f t="shared" si="42"/>
        <v>3319.05</v>
      </c>
      <c r="AA270">
        <f t="shared" si="43"/>
        <v>1194.4500000000003</v>
      </c>
      <c r="AB270" s="7">
        <f t="shared" si="44"/>
        <v>0.35987707325891449</v>
      </c>
      <c r="AC270" t="str">
        <f t="shared" si="45"/>
        <v>August</v>
      </c>
      <c r="AD270">
        <f t="shared" si="46"/>
        <v>2025</v>
      </c>
      <c r="AE270" t="str">
        <f t="shared" si="47"/>
        <v>Clean</v>
      </c>
      <c r="AF270" t="str">
        <f t="shared" si="48"/>
        <v>Match</v>
      </c>
      <c r="AG270" t="str">
        <f t="shared" si="49"/>
        <v>Match</v>
      </c>
    </row>
    <row r="271" spans="1:33">
      <c r="A271" t="s">
        <v>912</v>
      </c>
      <c r="B271" s="3">
        <v>45698</v>
      </c>
      <c r="C271" s="3">
        <v>45700</v>
      </c>
      <c r="D271">
        <f t="shared" si="40"/>
        <v>2</v>
      </c>
      <c r="E271" t="s">
        <v>913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914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>
        <v>1</v>
      </c>
      <c r="X271" t="s">
        <v>2765</v>
      </c>
      <c r="Y271">
        <f t="shared" si="41"/>
        <v>0</v>
      </c>
      <c r="Z271">
        <f t="shared" si="42"/>
        <v>1925.86</v>
      </c>
      <c r="AA271">
        <f t="shared" si="43"/>
        <v>603.9699999999998</v>
      </c>
      <c r="AB271" s="7">
        <f t="shared" si="44"/>
        <v>0.31361054282242729</v>
      </c>
      <c r="AC271" t="str">
        <f t="shared" si="45"/>
        <v>February</v>
      </c>
      <c r="AD271">
        <f t="shared" si="46"/>
        <v>2025</v>
      </c>
      <c r="AE271" t="str">
        <f t="shared" si="47"/>
        <v>Clean</v>
      </c>
      <c r="AF271" t="str">
        <f t="shared" si="48"/>
        <v>Match</v>
      </c>
      <c r="AG271" t="str">
        <f t="shared" si="49"/>
        <v>Match</v>
      </c>
    </row>
    <row r="272" spans="1:33">
      <c r="A272" t="s">
        <v>915</v>
      </c>
      <c r="B272" s="3">
        <v>45303</v>
      </c>
      <c r="C272" s="3">
        <v>45304</v>
      </c>
      <c r="D272">
        <f t="shared" si="40"/>
        <v>1</v>
      </c>
      <c r="E272" t="s">
        <v>916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917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>
        <v>1</v>
      </c>
      <c r="X272" t="s">
        <v>2765</v>
      </c>
      <c r="Y272">
        <f t="shared" si="41"/>
        <v>0</v>
      </c>
      <c r="Z272">
        <f t="shared" si="42"/>
        <v>2482.3200000000002</v>
      </c>
      <c r="AA272">
        <f t="shared" si="43"/>
        <v>962.11000000000013</v>
      </c>
      <c r="AB272" s="7">
        <f t="shared" si="44"/>
        <v>0.38758500112797706</v>
      </c>
      <c r="AC272" t="str">
        <f t="shared" si="45"/>
        <v>January</v>
      </c>
      <c r="AD272">
        <f t="shared" si="46"/>
        <v>2024</v>
      </c>
      <c r="AE272" t="str">
        <f t="shared" si="47"/>
        <v>Clean</v>
      </c>
      <c r="AF272" t="str">
        <f t="shared" si="48"/>
        <v>Match</v>
      </c>
      <c r="AG272" t="str">
        <f t="shared" si="49"/>
        <v>Match</v>
      </c>
    </row>
    <row r="273" spans="1:33">
      <c r="A273" t="s">
        <v>918</v>
      </c>
      <c r="B273" s="3">
        <v>45647</v>
      </c>
      <c r="C273" s="3">
        <v>45651</v>
      </c>
      <c r="D273">
        <f t="shared" si="40"/>
        <v>4</v>
      </c>
      <c r="E273" t="s">
        <v>919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920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>
        <v>1</v>
      </c>
      <c r="X273" t="s">
        <v>2765</v>
      </c>
      <c r="Y273">
        <f t="shared" si="41"/>
        <v>0</v>
      </c>
      <c r="Z273">
        <f t="shared" si="42"/>
        <v>11674.25</v>
      </c>
      <c r="AA273">
        <f t="shared" si="43"/>
        <v>2053.0599999999995</v>
      </c>
      <c r="AB273" s="7">
        <f t="shared" si="44"/>
        <v>0.17586226095894808</v>
      </c>
      <c r="AC273" t="str">
        <f t="shared" si="45"/>
        <v>December</v>
      </c>
      <c r="AD273">
        <f t="shared" si="46"/>
        <v>2024</v>
      </c>
      <c r="AE273" t="str">
        <f t="shared" si="47"/>
        <v>Clean</v>
      </c>
      <c r="AF273" t="str">
        <f t="shared" si="48"/>
        <v>Match</v>
      </c>
      <c r="AG273" t="str">
        <f t="shared" si="49"/>
        <v>Match</v>
      </c>
    </row>
    <row r="274" spans="1:33">
      <c r="A274" t="s">
        <v>921</v>
      </c>
      <c r="B274" s="3">
        <v>45522</v>
      </c>
      <c r="C274" s="3">
        <v>45528</v>
      </c>
      <c r="D274">
        <f t="shared" si="40"/>
        <v>6</v>
      </c>
      <c r="E274" t="s">
        <v>922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923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>
        <v>2</v>
      </c>
      <c r="X274" t="s">
        <v>2764</v>
      </c>
      <c r="Y274">
        <f t="shared" si="41"/>
        <v>0.1</v>
      </c>
      <c r="Z274">
        <f t="shared" si="42"/>
        <v>3510.4230000000002</v>
      </c>
      <c r="AA274">
        <f t="shared" si="43"/>
        <v>1318.9230000000002</v>
      </c>
      <c r="AB274" s="7">
        <f t="shared" si="44"/>
        <v>0.37571625983535323</v>
      </c>
      <c r="AC274" t="str">
        <f t="shared" si="45"/>
        <v>August</v>
      </c>
      <c r="AD274">
        <f t="shared" si="46"/>
        <v>2024</v>
      </c>
      <c r="AE274" t="str">
        <f t="shared" si="47"/>
        <v>Warning</v>
      </c>
      <c r="AF274" t="str">
        <f t="shared" si="48"/>
        <v>Match</v>
      </c>
      <c r="AG274" t="str">
        <f t="shared" si="49"/>
        <v>Mismatch</v>
      </c>
    </row>
    <row r="275" spans="1:33">
      <c r="A275" t="s">
        <v>924</v>
      </c>
      <c r="B275" s="3">
        <v>45701</v>
      </c>
      <c r="C275" s="3">
        <v>45701</v>
      </c>
      <c r="D275">
        <f t="shared" si="40"/>
        <v>0</v>
      </c>
      <c r="E275" t="s">
        <v>925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926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>
        <v>1</v>
      </c>
      <c r="X275" t="s">
        <v>2765</v>
      </c>
      <c r="Y275">
        <f t="shared" si="41"/>
        <v>0</v>
      </c>
      <c r="Z275">
        <f t="shared" si="42"/>
        <v>22694.670000000002</v>
      </c>
      <c r="AA275">
        <f t="shared" si="43"/>
        <v>7289.3100000000013</v>
      </c>
      <c r="AB275" s="7">
        <f t="shared" si="44"/>
        <v>0.32119039404406413</v>
      </c>
      <c r="AC275" t="str">
        <f t="shared" si="45"/>
        <v>February</v>
      </c>
      <c r="AD275">
        <f t="shared" si="46"/>
        <v>2025</v>
      </c>
      <c r="AE275" t="str">
        <f t="shared" si="47"/>
        <v>Clean</v>
      </c>
      <c r="AF275" t="str">
        <f t="shared" si="48"/>
        <v>Match</v>
      </c>
      <c r="AG275" t="str">
        <f t="shared" si="49"/>
        <v>Match</v>
      </c>
    </row>
    <row r="276" spans="1:33">
      <c r="A276" t="s">
        <v>927</v>
      </c>
      <c r="B276" s="3">
        <v>45389</v>
      </c>
      <c r="C276" s="3">
        <v>45396</v>
      </c>
      <c r="D276">
        <f t="shared" si="40"/>
        <v>7</v>
      </c>
      <c r="E276" t="s">
        <v>928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929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>
        <v>1</v>
      </c>
      <c r="X276" t="s">
        <v>2765</v>
      </c>
      <c r="Y276">
        <f t="shared" si="41"/>
        <v>0.15</v>
      </c>
      <c r="Z276">
        <f t="shared" si="42"/>
        <v>21658.221000000001</v>
      </c>
      <c r="AA276">
        <f t="shared" si="43"/>
        <v>6167.5310000000009</v>
      </c>
      <c r="AB276" s="7">
        <f t="shared" si="44"/>
        <v>0.28476627881856043</v>
      </c>
      <c r="AC276" t="str">
        <f t="shared" si="45"/>
        <v>April</v>
      </c>
      <c r="AD276">
        <f t="shared" si="46"/>
        <v>2024</v>
      </c>
      <c r="AE276" t="str">
        <f t="shared" si="47"/>
        <v>Clean</v>
      </c>
      <c r="AF276" t="str">
        <f t="shared" si="48"/>
        <v>Match</v>
      </c>
      <c r="AG276" t="str">
        <f t="shared" si="49"/>
        <v>Match</v>
      </c>
    </row>
    <row r="277" spans="1:33">
      <c r="A277" t="s">
        <v>930</v>
      </c>
      <c r="B277" s="3">
        <v>45337</v>
      </c>
      <c r="C277" s="3">
        <v>45344</v>
      </c>
      <c r="D277">
        <f t="shared" si="40"/>
        <v>7</v>
      </c>
      <c r="E277" t="s">
        <v>931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932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>
        <v>1</v>
      </c>
      <c r="X277" t="s">
        <v>2765</v>
      </c>
      <c r="Y277">
        <f t="shared" si="41"/>
        <v>0</v>
      </c>
      <c r="Z277">
        <f t="shared" si="42"/>
        <v>980.51</v>
      </c>
      <c r="AA277">
        <f t="shared" si="43"/>
        <v>319.59000000000003</v>
      </c>
      <c r="AB277" s="7">
        <f t="shared" si="44"/>
        <v>0.32594262169687205</v>
      </c>
      <c r="AC277" t="str">
        <f t="shared" si="45"/>
        <v>February</v>
      </c>
      <c r="AD277">
        <f t="shared" si="46"/>
        <v>2024</v>
      </c>
      <c r="AE277" t="str">
        <f t="shared" si="47"/>
        <v>Clean</v>
      </c>
      <c r="AF277" t="str">
        <f t="shared" si="48"/>
        <v>Match</v>
      </c>
      <c r="AG277" t="str">
        <f t="shared" si="49"/>
        <v>Match</v>
      </c>
    </row>
    <row r="278" spans="1:33">
      <c r="A278" t="s">
        <v>933</v>
      </c>
      <c r="B278" s="3">
        <v>45313</v>
      </c>
      <c r="C278" s="3">
        <v>45314</v>
      </c>
      <c r="D278">
        <f t="shared" si="40"/>
        <v>1</v>
      </c>
      <c r="E278" t="s">
        <v>934</v>
      </c>
      <c r="F278" t="s">
        <v>128</v>
      </c>
      <c r="G278" t="s">
        <v>37</v>
      </c>
      <c r="H278" t="s">
        <v>2760</v>
      </c>
      <c r="I278" t="s">
        <v>166</v>
      </c>
      <c r="J278" t="s">
        <v>167</v>
      </c>
      <c r="K278" t="s">
        <v>41</v>
      </c>
      <c r="L278" t="s">
        <v>66</v>
      </c>
      <c r="M278" t="s">
        <v>935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>
        <v>1</v>
      </c>
      <c r="X278" t="s">
        <v>2765</v>
      </c>
      <c r="Y278">
        <f t="shared" si="41"/>
        <v>-0.14000000000000001</v>
      </c>
      <c r="Z278">
        <f t="shared" si="42"/>
        <v>23198.065200000005</v>
      </c>
      <c r="AA278">
        <f t="shared" si="43"/>
        <v>14784.535200000004</v>
      </c>
      <c r="AB278" s="7">
        <f t="shared" si="44"/>
        <v>0.63731759836591895</v>
      </c>
      <c r="AC278" t="str">
        <f t="shared" si="45"/>
        <v>January</v>
      </c>
      <c r="AD278">
        <f t="shared" si="46"/>
        <v>2024</v>
      </c>
      <c r="AE278" t="str">
        <f t="shared" si="47"/>
        <v>Invalid</v>
      </c>
      <c r="AF278" t="str">
        <f t="shared" si="48"/>
        <v>Mismatch</v>
      </c>
      <c r="AG278" t="str">
        <f t="shared" si="49"/>
        <v>Mismatch</v>
      </c>
    </row>
    <row r="279" spans="1:33">
      <c r="A279" t="s">
        <v>936</v>
      </c>
      <c r="B279" s="3">
        <v>45812</v>
      </c>
      <c r="C279" s="3">
        <v>45812</v>
      </c>
      <c r="D279">
        <f t="shared" si="40"/>
        <v>0</v>
      </c>
      <c r="E279" t="s">
        <v>788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937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>
        <v>1</v>
      </c>
      <c r="X279" t="s">
        <v>2765</v>
      </c>
      <c r="Y279">
        <f t="shared" si="41"/>
        <v>0.15</v>
      </c>
      <c r="Z279">
        <f t="shared" si="42"/>
        <v>1813.6704999999999</v>
      </c>
      <c r="AA279">
        <f t="shared" si="43"/>
        <v>811.1004999999999</v>
      </c>
      <c r="AB279" s="7">
        <f t="shared" si="44"/>
        <v>0.4472149158295291</v>
      </c>
      <c r="AC279" t="str">
        <f t="shared" si="45"/>
        <v>June</v>
      </c>
      <c r="AD279">
        <f t="shared" si="46"/>
        <v>2025</v>
      </c>
      <c r="AE279" t="str">
        <f t="shared" si="47"/>
        <v>Clean</v>
      </c>
      <c r="AF279" t="str">
        <f t="shared" si="48"/>
        <v>Mismatch</v>
      </c>
      <c r="AG279" t="str">
        <f t="shared" si="49"/>
        <v>Match</v>
      </c>
    </row>
    <row r="280" spans="1:33">
      <c r="A280" t="s">
        <v>938</v>
      </c>
      <c r="B280" s="3">
        <v>45723</v>
      </c>
      <c r="C280" s="3">
        <v>45730</v>
      </c>
      <c r="D280">
        <f t="shared" si="40"/>
        <v>7</v>
      </c>
      <c r="E280" t="s">
        <v>939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940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>
        <v>1</v>
      </c>
      <c r="X280" t="s">
        <v>2765</v>
      </c>
      <c r="Y280">
        <f t="shared" si="41"/>
        <v>0.05</v>
      </c>
      <c r="Z280">
        <f t="shared" si="42"/>
        <v>3780.6579999999999</v>
      </c>
      <c r="AA280">
        <f t="shared" si="43"/>
        <v>1632.348</v>
      </c>
      <c r="AB280" s="7">
        <f t="shared" si="44"/>
        <v>0.43176293650470365</v>
      </c>
      <c r="AC280" t="str">
        <f t="shared" si="45"/>
        <v>March</v>
      </c>
      <c r="AD280">
        <f t="shared" si="46"/>
        <v>2025</v>
      </c>
      <c r="AE280" t="str">
        <f t="shared" si="47"/>
        <v>Clean</v>
      </c>
      <c r="AF280" t="str">
        <f t="shared" si="48"/>
        <v>Match</v>
      </c>
      <c r="AG280" t="str">
        <f t="shared" si="49"/>
        <v>Match</v>
      </c>
    </row>
    <row r="281" spans="1:33">
      <c r="A281" t="s">
        <v>941</v>
      </c>
      <c r="B281" s="3">
        <v>45391</v>
      </c>
      <c r="C281" s="3">
        <v>45392</v>
      </c>
      <c r="D281">
        <f t="shared" si="40"/>
        <v>1</v>
      </c>
      <c r="E281" t="s">
        <v>942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943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>
        <v>1</v>
      </c>
      <c r="X281" t="s">
        <v>2765</v>
      </c>
      <c r="Y281">
        <f t="shared" si="41"/>
        <v>0.05</v>
      </c>
      <c r="Z281">
        <f t="shared" si="42"/>
        <v>4141.1639999999998</v>
      </c>
      <c r="AA281">
        <f t="shared" si="43"/>
        <v>1386.9939999999997</v>
      </c>
      <c r="AB281" s="7">
        <f t="shared" si="44"/>
        <v>0.33492853700070796</v>
      </c>
      <c r="AC281" t="str">
        <f t="shared" si="45"/>
        <v>April</v>
      </c>
      <c r="AD281">
        <f t="shared" si="46"/>
        <v>2024</v>
      </c>
      <c r="AE281" t="str">
        <f t="shared" si="47"/>
        <v>Clean</v>
      </c>
      <c r="AF281" t="str">
        <f t="shared" si="48"/>
        <v>Match</v>
      </c>
      <c r="AG281" t="str">
        <f t="shared" si="49"/>
        <v>Match</v>
      </c>
    </row>
    <row r="282" spans="1:33">
      <c r="A282" t="s">
        <v>944</v>
      </c>
      <c r="B282" s="3">
        <v>45649</v>
      </c>
      <c r="C282" s="3">
        <v>45652</v>
      </c>
      <c r="D282">
        <f t="shared" si="40"/>
        <v>3</v>
      </c>
      <c r="E282" t="s">
        <v>945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946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>
        <v>1</v>
      </c>
      <c r="X282" t="s">
        <v>2765</v>
      </c>
      <c r="Y282">
        <f t="shared" si="41"/>
        <v>0</v>
      </c>
      <c r="Z282">
        <f t="shared" si="42"/>
        <v>8943.0299999999988</v>
      </c>
      <c r="AA282">
        <f t="shared" si="43"/>
        <v>3777.6499999999987</v>
      </c>
      <c r="AB282" s="7">
        <f t="shared" si="44"/>
        <v>0.42241276167026154</v>
      </c>
      <c r="AC282" t="str">
        <f t="shared" si="45"/>
        <v>December</v>
      </c>
      <c r="AD282">
        <f t="shared" si="46"/>
        <v>2024</v>
      </c>
      <c r="AE282" t="str">
        <f t="shared" si="47"/>
        <v>Clean</v>
      </c>
      <c r="AF282" t="str">
        <f t="shared" si="48"/>
        <v>Match</v>
      </c>
      <c r="AG282" t="str">
        <f t="shared" si="49"/>
        <v>Match</v>
      </c>
    </row>
    <row r="283" spans="1:33">
      <c r="A283" t="s">
        <v>947</v>
      </c>
      <c r="B283" s="3">
        <v>45863</v>
      </c>
      <c r="C283" s="3">
        <v>45865</v>
      </c>
      <c r="D283">
        <f t="shared" si="40"/>
        <v>2</v>
      </c>
      <c r="E283" t="s">
        <v>948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949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>
        <v>1</v>
      </c>
      <c r="X283" t="s">
        <v>2765</v>
      </c>
      <c r="Y283">
        <f t="shared" si="41"/>
        <v>0.2</v>
      </c>
      <c r="Z283">
        <f t="shared" si="42"/>
        <v>16504.223999999998</v>
      </c>
      <c r="AA283">
        <f t="shared" si="43"/>
        <v>5241.5139999999992</v>
      </c>
      <c r="AB283" s="7">
        <f t="shared" si="44"/>
        <v>0.31758621308096641</v>
      </c>
      <c r="AC283" t="str">
        <f t="shared" si="45"/>
        <v>July</v>
      </c>
      <c r="AD283">
        <f t="shared" si="46"/>
        <v>2025</v>
      </c>
      <c r="AE283" t="str">
        <f t="shared" si="47"/>
        <v>Clean</v>
      </c>
      <c r="AF283" t="str">
        <f t="shared" si="48"/>
        <v>Match</v>
      </c>
      <c r="AG283" t="str">
        <f t="shared" si="49"/>
        <v>Match</v>
      </c>
    </row>
    <row r="284" spans="1:33">
      <c r="A284" t="s">
        <v>950</v>
      </c>
      <c r="B284" s="3">
        <v>45566</v>
      </c>
      <c r="C284" s="3">
        <v>45567</v>
      </c>
      <c r="D284">
        <f t="shared" si="40"/>
        <v>1</v>
      </c>
      <c r="E284" t="s">
        <v>951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952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>
        <v>1</v>
      </c>
      <c r="X284" t="s">
        <v>2765</v>
      </c>
      <c r="Y284">
        <f t="shared" si="41"/>
        <v>0</v>
      </c>
      <c r="Z284">
        <f t="shared" si="42"/>
        <v>4596</v>
      </c>
      <c r="AA284">
        <f t="shared" si="43"/>
        <v>1375.67</v>
      </c>
      <c r="AB284" s="7">
        <f t="shared" si="44"/>
        <v>0.29931897302001742</v>
      </c>
      <c r="AC284" t="str">
        <f t="shared" si="45"/>
        <v>October</v>
      </c>
      <c r="AD284">
        <f t="shared" si="46"/>
        <v>2024</v>
      </c>
      <c r="AE284" t="str">
        <f t="shared" si="47"/>
        <v>Clean</v>
      </c>
      <c r="AF284" t="str">
        <f t="shared" si="48"/>
        <v>Match</v>
      </c>
      <c r="AG284" t="str">
        <f t="shared" si="49"/>
        <v>Match</v>
      </c>
    </row>
    <row r="285" spans="1:33">
      <c r="A285" t="s">
        <v>953</v>
      </c>
      <c r="B285" s="3">
        <v>45729</v>
      </c>
      <c r="C285" s="3">
        <v>45736</v>
      </c>
      <c r="D285">
        <f t="shared" si="40"/>
        <v>7</v>
      </c>
      <c r="E285" t="s">
        <v>954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955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>
        <v>1</v>
      </c>
      <c r="X285" t="s">
        <v>2765</v>
      </c>
      <c r="Y285">
        <f t="shared" si="41"/>
        <v>0</v>
      </c>
      <c r="Z285">
        <f t="shared" si="42"/>
        <v>1814.01</v>
      </c>
      <c r="AA285">
        <f t="shared" si="43"/>
        <v>780.54</v>
      </c>
      <c r="AB285" s="7">
        <f t="shared" si="44"/>
        <v>0.43028428729720342</v>
      </c>
      <c r="AC285" t="str">
        <f t="shared" si="45"/>
        <v>March</v>
      </c>
      <c r="AD285">
        <f t="shared" si="46"/>
        <v>2025</v>
      </c>
      <c r="AE285" t="str">
        <f t="shared" si="47"/>
        <v>Clean</v>
      </c>
      <c r="AF285" t="str">
        <f t="shared" si="48"/>
        <v>Match</v>
      </c>
      <c r="AG285" t="str">
        <f t="shared" si="49"/>
        <v>Match</v>
      </c>
    </row>
    <row r="286" spans="1:33">
      <c r="A286" t="s">
        <v>956</v>
      </c>
      <c r="B286" s="3">
        <v>45634</v>
      </c>
      <c r="C286" s="3">
        <v>45640</v>
      </c>
      <c r="D286">
        <f t="shared" si="40"/>
        <v>6</v>
      </c>
      <c r="E286" t="s">
        <v>957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958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>
        <v>1</v>
      </c>
      <c r="X286" t="s">
        <v>2765</v>
      </c>
      <c r="Y286">
        <f t="shared" si="41"/>
        <v>0</v>
      </c>
      <c r="Z286">
        <f t="shared" si="42"/>
        <v>4730.76</v>
      </c>
      <c r="AA286">
        <f t="shared" si="43"/>
        <v>1591.0300000000002</v>
      </c>
      <c r="AB286" s="7">
        <f t="shared" si="44"/>
        <v>0.33631594077907145</v>
      </c>
      <c r="AC286" t="str">
        <f t="shared" si="45"/>
        <v>December</v>
      </c>
      <c r="AD286">
        <f t="shared" si="46"/>
        <v>2024</v>
      </c>
      <c r="AE286" t="str">
        <f t="shared" si="47"/>
        <v>Clean</v>
      </c>
      <c r="AF286" t="str">
        <f t="shared" si="48"/>
        <v>Match</v>
      </c>
      <c r="AG286" t="str">
        <f t="shared" si="49"/>
        <v>Match</v>
      </c>
    </row>
    <row r="287" spans="1:33">
      <c r="A287" t="s">
        <v>959</v>
      </c>
      <c r="B287" s="3">
        <v>45884</v>
      </c>
      <c r="C287" s="3">
        <v>45889</v>
      </c>
      <c r="D287">
        <f t="shared" si="40"/>
        <v>5</v>
      </c>
      <c r="E287" t="s">
        <v>960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961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>
        <v>1</v>
      </c>
      <c r="X287" t="s">
        <v>2765</v>
      </c>
      <c r="Y287">
        <f t="shared" si="41"/>
        <v>0</v>
      </c>
      <c r="Z287">
        <f t="shared" si="42"/>
        <v>36735.93</v>
      </c>
      <c r="AA287">
        <f t="shared" si="43"/>
        <v>5915.09</v>
      </c>
      <c r="AB287" s="7">
        <f t="shared" si="44"/>
        <v>0.16101647624001897</v>
      </c>
      <c r="AC287" t="str">
        <f t="shared" si="45"/>
        <v>August</v>
      </c>
      <c r="AD287">
        <f t="shared" si="46"/>
        <v>2025</v>
      </c>
      <c r="AE287" t="str">
        <f t="shared" si="47"/>
        <v>Clean</v>
      </c>
      <c r="AF287" t="str">
        <f t="shared" si="48"/>
        <v>Match</v>
      </c>
      <c r="AG287" t="str">
        <f t="shared" si="49"/>
        <v>Match</v>
      </c>
    </row>
    <row r="288" spans="1:33">
      <c r="A288" t="s">
        <v>962</v>
      </c>
      <c r="B288" s="3">
        <v>45350</v>
      </c>
      <c r="C288" s="3">
        <v>45353</v>
      </c>
      <c r="D288">
        <f t="shared" si="40"/>
        <v>3</v>
      </c>
      <c r="E288" t="s">
        <v>963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964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>
        <v>1</v>
      </c>
      <c r="X288" t="s">
        <v>2765</v>
      </c>
      <c r="Y288">
        <f t="shared" si="41"/>
        <v>0.1</v>
      </c>
      <c r="Z288">
        <f t="shared" si="42"/>
        <v>4421.3399999999992</v>
      </c>
      <c r="AA288">
        <f t="shared" si="43"/>
        <v>1931.3599999999992</v>
      </c>
      <c r="AB288" s="7">
        <f t="shared" si="44"/>
        <v>0.43682684435035524</v>
      </c>
      <c r="AC288" t="str">
        <f t="shared" si="45"/>
        <v>February</v>
      </c>
      <c r="AD288">
        <f t="shared" si="46"/>
        <v>2024</v>
      </c>
      <c r="AE288" t="str">
        <f t="shared" si="47"/>
        <v>Clean</v>
      </c>
      <c r="AF288" t="str">
        <f t="shared" si="48"/>
        <v>Match</v>
      </c>
      <c r="AG288" t="str">
        <f t="shared" si="49"/>
        <v>Match</v>
      </c>
    </row>
    <row r="289" spans="1:33">
      <c r="A289" t="s">
        <v>965</v>
      </c>
      <c r="B289" s="3">
        <v>45540</v>
      </c>
      <c r="C289" s="3">
        <v>45542</v>
      </c>
      <c r="D289">
        <f t="shared" si="40"/>
        <v>2</v>
      </c>
      <c r="E289" t="s">
        <v>966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967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>
        <v>1</v>
      </c>
      <c r="X289" t="s">
        <v>2765</v>
      </c>
      <c r="Y289">
        <f t="shared" si="41"/>
        <v>0.15</v>
      </c>
      <c r="Z289">
        <f t="shared" si="42"/>
        <v>6516.9329999999991</v>
      </c>
      <c r="AA289">
        <f t="shared" si="43"/>
        <v>2005.3929999999991</v>
      </c>
      <c r="AB289" s="7">
        <f t="shared" si="44"/>
        <v>0.30772036477895343</v>
      </c>
      <c r="AC289" t="str">
        <f t="shared" si="45"/>
        <v>September</v>
      </c>
      <c r="AD289">
        <f t="shared" si="46"/>
        <v>2024</v>
      </c>
      <c r="AE289" t="str">
        <f t="shared" si="47"/>
        <v>Clean</v>
      </c>
      <c r="AF289" t="str">
        <f t="shared" si="48"/>
        <v>Match</v>
      </c>
      <c r="AG289" t="str">
        <f t="shared" si="49"/>
        <v>Match</v>
      </c>
    </row>
    <row r="290" spans="1:33">
      <c r="A290" t="s">
        <v>968</v>
      </c>
      <c r="B290" s="3">
        <v>45467</v>
      </c>
      <c r="C290" s="3">
        <v>45467</v>
      </c>
      <c r="D290">
        <f t="shared" si="40"/>
        <v>0</v>
      </c>
      <c r="E290" t="s">
        <v>969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970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>
        <v>1</v>
      </c>
      <c r="X290" t="s">
        <v>2765</v>
      </c>
      <c r="Y290">
        <f t="shared" si="41"/>
        <v>0.15</v>
      </c>
      <c r="Z290">
        <f t="shared" si="42"/>
        <v>7411.829999999999</v>
      </c>
      <c r="AA290">
        <f t="shared" si="43"/>
        <v>2507.1999999999989</v>
      </c>
      <c r="AB290" s="7">
        <f t="shared" si="44"/>
        <v>0.3382700358750807</v>
      </c>
      <c r="AC290" t="str">
        <f t="shared" si="45"/>
        <v>June</v>
      </c>
      <c r="AD290">
        <f t="shared" si="46"/>
        <v>2024</v>
      </c>
      <c r="AE290" t="str">
        <f t="shared" si="47"/>
        <v>Clean</v>
      </c>
      <c r="AF290" t="str">
        <f t="shared" si="48"/>
        <v>Match</v>
      </c>
      <c r="AG290" t="str">
        <f t="shared" si="49"/>
        <v>Match</v>
      </c>
    </row>
    <row r="291" spans="1:33">
      <c r="A291" t="s">
        <v>971</v>
      </c>
      <c r="B291" s="3">
        <v>45827</v>
      </c>
      <c r="C291" s="3">
        <v>45835</v>
      </c>
      <c r="D291">
        <f t="shared" si="40"/>
        <v>8</v>
      </c>
      <c r="E291" t="s">
        <v>972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973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>
        <v>1</v>
      </c>
      <c r="X291" t="s">
        <v>2765</v>
      </c>
      <c r="Y291">
        <f t="shared" si="41"/>
        <v>0.05</v>
      </c>
      <c r="Z291">
        <f t="shared" si="42"/>
        <v>8258.7109999999993</v>
      </c>
      <c r="AA291">
        <f t="shared" si="43"/>
        <v>1239.7409999999991</v>
      </c>
      <c r="AB291" s="7">
        <f t="shared" si="44"/>
        <v>0.15011313508851432</v>
      </c>
      <c r="AC291" t="str">
        <f t="shared" si="45"/>
        <v>June</v>
      </c>
      <c r="AD291">
        <f t="shared" si="46"/>
        <v>2025</v>
      </c>
      <c r="AE291" t="str">
        <f t="shared" si="47"/>
        <v>Clean</v>
      </c>
      <c r="AF291" t="str">
        <f t="shared" si="48"/>
        <v>Match</v>
      </c>
      <c r="AG291" t="str">
        <f t="shared" si="49"/>
        <v>Match</v>
      </c>
    </row>
    <row r="292" spans="1:33">
      <c r="A292" t="s">
        <v>974</v>
      </c>
      <c r="B292" s="3">
        <v>45891</v>
      </c>
      <c r="C292" s="3">
        <v>45895</v>
      </c>
      <c r="D292">
        <f t="shared" si="40"/>
        <v>4</v>
      </c>
      <c r="E292" t="s">
        <v>975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976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>
        <v>1</v>
      </c>
      <c r="X292" t="s">
        <v>2765</v>
      </c>
      <c r="Y292">
        <f t="shared" si="41"/>
        <v>0.1</v>
      </c>
      <c r="Z292">
        <f t="shared" si="42"/>
        <v>1658.3670000000002</v>
      </c>
      <c r="AA292">
        <f t="shared" si="43"/>
        <v>687.24700000000018</v>
      </c>
      <c r="AB292" s="7">
        <f t="shared" si="44"/>
        <v>0.41441188832146331</v>
      </c>
      <c r="AC292" t="str">
        <f t="shared" si="45"/>
        <v>August</v>
      </c>
      <c r="AD292">
        <f t="shared" si="46"/>
        <v>2025</v>
      </c>
      <c r="AE292" t="str">
        <f t="shared" si="47"/>
        <v>Clean</v>
      </c>
      <c r="AF292" t="str">
        <f t="shared" si="48"/>
        <v>Match</v>
      </c>
      <c r="AG292" t="str">
        <f t="shared" si="49"/>
        <v>Match</v>
      </c>
    </row>
    <row r="293" spans="1:33">
      <c r="A293" t="s">
        <v>977</v>
      </c>
      <c r="B293" s="3">
        <v>45387</v>
      </c>
      <c r="C293" s="3">
        <v>45392</v>
      </c>
      <c r="D293">
        <f t="shared" si="40"/>
        <v>5</v>
      </c>
      <c r="E293" t="s">
        <v>978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979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>
        <v>1</v>
      </c>
      <c r="X293" t="s">
        <v>2765</v>
      </c>
      <c r="Y293">
        <f t="shared" si="41"/>
        <v>0.25</v>
      </c>
      <c r="Z293">
        <f t="shared" si="42"/>
        <v>9685.98</v>
      </c>
      <c r="AA293">
        <f t="shared" si="43"/>
        <v>1955.9399999999996</v>
      </c>
      <c r="AB293" s="7">
        <f t="shared" si="44"/>
        <v>0.20193516815025425</v>
      </c>
      <c r="AC293" t="str">
        <f t="shared" si="45"/>
        <v>April</v>
      </c>
      <c r="AD293">
        <f t="shared" si="46"/>
        <v>2024</v>
      </c>
      <c r="AE293" t="str">
        <f t="shared" si="47"/>
        <v>Clean</v>
      </c>
      <c r="AF293" t="str">
        <f t="shared" si="48"/>
        <v>Match</v>
      </c>
      <c r="AG293" t="str">
        <f t="shared" si="49"/>
        <v>Match</v>
      </c>
    </row>
    <row r="294" spans="1:33">
      <c r="A294" t="s">
        <v>980</v>
      </c>
      <c r="B294" s="3">
        <v>45716</v>
      </c>
      <c r="C294" s="3">
        <v>45719</v>
      </c>
      <c r="D294">
        <f t="shared" si="40"/>
        <v>3</v>
      </c>
      <c r="E294" t="s">
        <v>981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982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>
        <v>1</v>
      </c>
      <c r="X294" t="s">
        <v>2765</v>
      </c>
      <c r="Y294">
        <f t="shared" si="41"/>
        <v>0</v>
      </c>
      <c r="Z294">
        <f t="shared" si="42"/>
        <v>33740.549999999996</v>
      </c>
      <c r="AA294">
        <f t="shared" si="43"/>
        <v>9118.6599999999962</v>
      </c>
      <c r="AB294" s="7">
        <f t="shared" si="44"/>
        <v>0.2702581908119458</v>
      </c>
      <c r="AC294" t="str">
        <f t="shared" si="45"/>
        <v>February</v>
      </c>
      <c r="AD294">
        <f t="shared" si="46"/>
        <v>2025</v>
      </c>
      <c r="AE294" t="str">
        <f t="shared" si="47"/>
        <v>Clean</v>
      </c>
      <c r="AF294" t="str">
        <f t="shared" si="48"/>
        <v>Match</v>
      </c>
      <c r="AG294" t="str">
        <f t="shared" si="49"/>
        <v>Match</v>
      </c>
    </row>
    <row r="295" spans="1:33">
      <c r="A295" t="s">
        <v>983</v>
      </c>
      <c r="B295" s="3">
        <v>45358</v>
      </c>
      <c r="C295" s="3">
        <v>45362</v>
      </c>
      <c r="D295">
        <f t="shared" si="40"/>
        <v>4</v>
      </c>
      <c r="E295" t="s">
        <v>984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985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>
        <v>1</v>
      </c>
      <c r="X295" t="s">
        <v>2765</v>
      </c>
      <c r="Y295">
        <f t="shared" si="41"/>
        <v>0.65</v>
      </c>
      <c r="Z295">
        <f t="shared" si="42"/>
        <v>3081.0569999999998</v>
      </c>
      <c r="AA295">
        <f t="shared" si="43"/>
        <v>-3459.9830000000002</v>
      </c>
      <c r="AB295" s="7">
        <f t="shared" si="44"/>
        <v>-1.1229857156164267</v>
      </c>
      <c r="AC295" t="str">
        <f t="shared" si="45"/>
        <v>March</v>
      </c>
      <c r="AD295">
        <f t="shared" si="46"/>
        <v>2024</v>
      </c>
      <c r="AE295" t="str">
        <f t="shared" si="47"/>
        <v>Clean</v>
      </c>
      <c r="AF295" t="str">
        <f t="shared" si="48"/>
        <v>Mismatch</v>
      </c>
      <c r="AG295" t="str">
        <f t="shared" si="49"/>
        <v>Mismatch</v>
      </c>
    </row>
    <row r="296" spans="1:33">
      <c r="A296" t="s">
        <v>986</v>
      </c>
      <c r="B296" s="3">
        <v>45854</v>
      </c>
      <c r="C296" s="3">
        <v>45860</v>
      </c>
      <c r="D296">
        <f t="shared" si="40"/>
        <v>6</v>
      </c>
      <c r="E296" t="s">
        <v>987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988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>
        <v>1</v>
      </c>
      <c r="X296" t="s">
        <v>2765</v>
      </c>
      <c r="Y296">
        <f t="shared" si="41"/>
        <v>0.25</v>
      </c>
      <c r="Z296">
        <f t="shared" si="42"/>
        <v>18716.985000000001</v>
      </c>
      <c r="AA296">
        <f t="shared" si="43"/>
        <v>6434.5550000000003</v>
      </c>
      <c r="AB296" s="7">
        <f t="shared" si="44"/>
        <v>0.34378159730319813</v>
      </c>
      <c r="AC296" t="str">
        <f t="shared" si="45"/>
        <v>July</v>
      </c>
      <c r="AD296">
        <f t="shared" si="46"/>
        <v>2025</v>
      </c>
      <c r="AE296" t="str">
        <f t="shared" si="47"/>
        <v>Clean</v>
      </c>
      <c r="AF296" t="str">
        <f t="shared" si="48"/>
        <v>Match</v>
      </c>
      <c r="AG296" t="str">
        <f t="shared" si="49"/>
        <v>Match</v>
      </c>
    </row>
    <row r="297" spans="1:33">
      <c r="A297" t="s">
        <v>989</v>
      </c>
      <c r="B297" s="3">
        <v>45833</v>
      </c>
      <c r="C297" s="3">
        <v>45836</v>
      </c>
      <c r="D297">
        <f t="shared" si="40"/>
        <v>3</v>
      </c>
      <c r="E297" t="s">
        <v>990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991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>
        <v>1</v>
      </c>
      <c r="X297" t="s">
        <v>2765</v>
      </c>
      <c r="Y297">
        <f t="shared" si="41"/>
        <v>0.1</v>
      </c>
      <c r="Z297">
        <f t="shared" si="42"/>
        <v>9385.3350000000009</v>
      </c>
      <c r="AA297">
        <f t="shared" si="43"/>
        <v>3556.795000000001</v>
      </c>
      <c r="AB297" s="7">
        <f t="shared" si="44"/>
        <v>0.37897368607513748</v>
      </c>
      <c r="AC297" t="str">
        <f t="shared" si="45"/>
        <v>June</v>
      </c>
      <c r="AD297">
        <f t="shared" si="46"/>
        <v>2025</v>
      </c>
      <c r="AE297" t="str">
        <f t="shared" si="47"/>
        <v>Clean</v>
      </c>
      <c r="AF297" t="str">
        <f t="shared" si="48"/>
        <v>Match</v>
      </c>
      <c r="AG297" t="str">
        <f t="shared" si="49"/>
        <v>Match</v>
      </c>
    </row>
    <row r="298" spans="1:33">
      <c r="A298" t="s">
        <v>992</v>
      </c>
      <c r="B298" s="3">
        <v>45801</v>
      </c>
      <c r="C298" s="3">
        <v>45803</v>
      </c>
      <c r="D298">
        <f t="shared" si="40"/>
        <v>2</v>
      </c>
      <c r="E298" t="s">
        <v>993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994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>
        <v>1</v>
      </c>
      <c r="X298" t="s">
        <v>2765</v>
      </c>
      <c r="Y298">
        <f t="shared" si="41"/>
        <v>0.15</v>
      </c>
      <c r="Z298">
        <f t="shared" si="42"/>
        <v>17826.591</v>
      </c>
      <c r="AA298">
        <f t="shared" si="43"/>
        <v>6971.241</v>
      </c>
      <c r="AB298" s="7">
        <f t="shared" si="44"/>
        <v>0.39105855965394615</v>
      </c>
      <c r="AC298" t="str">
        <f t="shared" si="45"/>
        <v>May</v>
      </c>
      <c r="AD298">
        <f t="shared" si="46"/>
        <v>2025</v>
      </c>
      <c r="AE298" t="str">
        <f t="shared" si="47"/>
        <v>Clean</v>
      </c>
      <c r="AF298" t="str">
        <f t="shared" si="48"/>
        <v>Match</v>
      </c>
      <c r="AG298" t="str">
        <f t="shared" si="49"/>
        <v>Match</v>
      </c>
    </row>
    <row r="299" spans="1:33">
      <c r="A299" t="s">
        <v>995</v>
      </c>
      <c r="B299" s="3">
        <v>45594</v>
      </c>
      <c r="C299" s="3">
        <v>45602</v>
      </c>
      <c r="D299">
        <f t="shared" si="40"/>
        <v>8</v>
      </c>
      <c r="E299" t="s">
        <v>996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997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>
        <v>1</v>
      </c>
      <c r="X299" t="s">
        <v>2765</v>
      </c>
      <c r="Y299">
        <f t="shared" si="41"/>
        <v>0.15</v>
      </c>
      <c r="Z299">
        <f t="shared" si="42"/>
        <v>5966.5920000000006</v>
      </c>
      <c r="AA299">
        <f t="shared" si="43"/>
        <v>1971.8720000000008</v>
      </c>
      <c r="AB299" s="7">
        <f t="shared" si="44"/>
        <v>0.33048547646629778</v>
      </c>
      <c r="AC299" t="str">
        <f t="shared" si="45"/>
        <v>October</v>
      </c>
      <c r="AD299">
        <f t="shared" si="46"/>
        <v>2024</v>
      </c>
      <c r="AE299" t="str">
        <f t="shared" si="47"/>
        <v>Clean</v>
      </c>
      <c r="AF299" t="str">
        <f t="shared" si="48"/>
        <v>Match</v>
      </c>
      <c r="AG299" t="str">
        <f t="shared" si="49"/>
        <v>Match</v>
      </c>
    </row>
    <row r="300" spans="1:33">
      <c r="A300" t="s">
        <v>998</v>
      </c>
      <c r="B300" s="3">
        <v>45680</v>
      </c>
      <c r="C300" s="3">
        <v>45683</v>
      </c>
      <c r="D300">
        <f t="shared" si="40"/>
        <v>3</v>
      </c>
      <c r="E300" t="s">
        <v>999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1000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>
        <v>1</v>
      </c>
      <c r="X300" t="s">
        <v>2765</v>
      </c>
      <c r="Y300">
        <f t="shared" si="41"/>
        <v>0.2</v>
      </c>
      <c r="Z300">
        <f t="shared" si="42"/>
        <v>1951.5440000000003</v>
      </c>
      <c r="AA300">
        <f t="shared" si="43"/>
        <v>341.59400000000028</v>
      </c>
      <c r="AB300" s="7">
        <f t="shared" si="44"/>
        <v>0.17503781621116421</v>
      </c>
      <c r="AC300" t="str">
        <f t="shared" si="45"/>
        <v>January</v>
      </c>
      <c r="AD300">
        <f t="shared" si="46"/>
        <v>2025</v>
      </c>
      <c r="AE300" t="str">
        <f t="shared" si="47"/>
        <v>Clean</v>
      </c>
      <c r="AF300" t="str">
        <f t="shared" si="48"/>
        <v>Match</v>
      </c>
      <c r="AG300" t="str">
        <f t="shared" si="49"/>
        <v>Match</v>
      </c>
    </row>
    <row r="301" spans="1:33">
      <c r="A301" t="s">
        <v>1001</v>
      </c>
      <c r="B301" s="3">
        <v>45602</v>
      </c>
      <c r="C301" s="3">
        <v>45608</v>
      </c>
      <c r="D301">
        <f t="shared" si="40"/>
        <v>6</v>
      </c>
      <c r="E301" t="s">
        <v>1002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1003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>
        <v>1</v>
      </c>
      <c r="X301" t="s">
        <v>2765</v>
      </c>
      <c r="Y301">
        <f t="shared" si="41"/>
        <v>0.1</v>
      </c>
      <c r="Z301">
        <f t="shared" si="42"/>
        <v>10830.015000000001</v>
      </c>
      <c r="AA301">
        <f t="shared" si="43"/>
        <v>3774.7050000000008</v>
      </c>
      <c r="AB301" s="7">
        <f t="shared" si="44"/>
        <v>0.34854106850267524</v>
      </c>
      <c r="AC301" t="str">
        <f t="shared" si="45"/>
        <v>November</v>
      </c>
      <c r="AD301">
        <f t="shared" si="46"/>
        <v>2024</v>
      </c>
      <c r="AE301" t="str">
        <f t="shared" si="47"/>
        <v>Clean</v>
      </c>
      <c r="AF301" t="str">
        <f t="shared" si="48"/>
        <v>Match</v>
      </c>
      <c r="AG301" t="str">
        <f t="shared" si="49"/>
        <v>Match</v>
      </c>
    </row>
    <row r="302" spans="1:33">
      <c r="A302" t="s">
        <v>1004</v>
      </c>
      <c r="B302" s="3">
        <v>45397</v>
      </c>
      <c r="C302" s="3">
        <v>45405</v>
      </c>
      <c r="D302">
        <f t="shared" si="40"/>
        <v>8</v>
      </c>
      <c r="E302" t="s">
        <v>1005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1006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>
        <v>1</v>
      </c>
      <c r="X302" t="s">
        <v>2765</v>
      </c>
      <c r="Y302">
        <f t="shared" si="41"/>
        <v>0.1</v>
      </c>
      <c r="Z302">
        <f t="shared" si="42"/>
        <v>31539.293999999998</v>
      </c>
      <c r="AA302">
        <f t="shared" si="43"/>
        <v>9439.1539999999986</v>
      </c>
      <c r="AB302" s="7">
        <f t="shared" si="44"/>
        <v>0.29928234918638313</v>
      </c>
      <c r="AC302" t="str">
        <f t="shared" si="45"/>
        <v>April</v>
      </c>
      <c r="AD302">
        <f t="shared" si="46"/>
        <v>2024</v>
      </c>
      <c r="AE302" t="str">
        <f t="shared" si="47"/>
        <v>Clean</v>
      </c>
      <c r="AF302" t="str">
        <f t="shared" si="48"/>
        <v>Match</v>
      </c>
      <c r="AG302" t="str">
        <f t="shared" si="49"/>
        <v>Match</v>
      </c>
    </row>
    <row r="303" spans="1:33">
      <c r="A303" t="s">
        <v>1007</v>
      </c>
      <c r="B303" s="3">
        <v>45805</v>
      </c>
      <c r="C303" s="3">
        <v>45809</v>
      </c>
      <c r="D303">
        <f t="shared" si="40"/>
        <v>4</v>
      </c>
      <c r="E303" t="s">
        <v>1008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1009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>
        <v>1</v>
      </c>
      <c r="X303" t="s">
        <v>2765</v>
      </c>
      <c r="Y303">
        <f t="shared" si="41"/>
        <v>0.05</v>
      </c>
      <c r="Z303">
        <f t="shared" si="42"/>
        <v>6285.6179999999995</v>
      </c>
      <c r="AA303">
        <f t="shared" si="43"/>
        <v>2580.2379999999994</v>
      </c>
      <c r="AB303" s="7">
        <f t="shared" si="44"/>
        <v>0.41049869718458865</v>
      </c>
      <c r="AC303" t="str">
        <f t="shared" si="45"/>
        <v>May</v>
      </c>
      <c r="AD303">
        <f t="shared" si="46"/>
        <v>2025</v>
      </c>
      <c r="AE303" t="str">
        <f t="shared" si="47"/>
        <v>Clean</v>
      </c>
      <c r="AF303" t="str">
        <f t="shared" si="48"/>
        <v>Match</v>
      </c>
      <c r="AG303" t="str">
        <f t="shared" si="49"/>
        <v>Match</v>
      </c>
    </row>
    <row r="304" spans="1:33">
      <c r="A304" t="s">
        <v>1010</v>
      </c>
      <c r="B304" s="3">
        <v>45812</v>
      </c>
      <c r="C304" s="3">
        <v>45820</v>
      </c>
      <c r="D304">
        <f t="shared" si="40"/>
        <v>8</v>
      </c>
      <c r="E304" t="s">
        <v>1011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1012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>
        <v>1</v>
      </c>
      <c r="X304" t="s">
        <v>2765</v>
      </c>
      <c r="Y304">
        <f t="shared" si="41"/>
        <v>0.25</v>
      </c>
      <c r="Z304">
        <f t="shared" si="42"/>
        <v>4054.92</v>
      </c>
      <c r="AA304">
        <f t="shared" si="43"/>
        <v>1630.0900000000001</v>
      </c>
      <c r="AB304" s="7">
        <f t="shared" si="44"/>
        <v>0.40200299882611745</v>
      </c>
      <c r="AC304" t="str">
        <f t="shared" si="45"/>
        <v>June</v>
      </c>
      <c r="AD304">
        <f t="shared" si="46"/>
        <v>2025</v>
      </c>
      <c r="AE304" t="str">
        <f t="shared" si="47"/>
        <v>Clean</v>
      </c>
      <c r="AF304" t="str">
        <f t="shared" si="48"/>
        <v>Match</v>
      </c>
      <c r="AG304" t="str">
        <f t="shared" si="49"/>
        <v>Match</v>
      </c>
    </row>
    <row r="305" spans="1:33">
      <c r="A305" t="s">
        <v>1013</v>
      </c>
      <c r="B305" s="3">
        <v>45466</v>
      </c>
      <c r="C305" s="3">
        <v>45471</v>
      </c>
      <c r="D305">
        <f t="shared" si="40"/>
        <v>5</v>
      </c>
      <c r="E305" t="s">
        <v>1014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1015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>
        <v>1</v>
      </c>
      <c r="X305" t="s">
        <v>2765</v>
      </c>
      <c r="Y305">
        <f t="shared" si="41"/>
        <v>0.1</v>
      </c>
      <c r="Z305">
        <f t="shared" si="42"/>
        <v>2363.652</v>
      </c>
      <c r="AA305">
        <f t="shared" si="43"/>
        <v>487.55200000000013</v>
      </c>
      <c r="AB305" s="7">
        <f t="shared" si="44"/>
        <v>0.20627063544041174</v>
      </c>
      <c r="AC305" t="str">
        <f t="shared" si="45"/>
        <v>June</v>
      </c>
      <c r="AD305">
        <f t="shared" si="46"/>
        <v>2024</v>
      </c>
      <c r="AE305" t="str">
        <f t="shared" si="47"/>
        <v>Clean</v>
      </c>
      <c r="AF305" t="str">
        <f t="shared" si="48"/>
        <v>Match</v>
      </c>
      <c r="AG305" t="str">
        <f t="shared" si="49"/>
        <v>Match</v>
      </c>
    </row>
    <row r="306" spans="1:33">
      <c r="A306" t="s">
        <v>1016</v>
      </c>
      <c r="B306" s="3">
        <v>45357</v>
      </c>
      <c r="C306" s="3">
        <v>45364</v>
      </c>
      <c r="D306">
        <f t="shared" si="40"/>
        <v>7</v>
      </c>
      <c r="E306" t="s">
        <v>1017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1018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>
        <v>1</v>
      </c>
      <c r="X306" t="s">
        <v>2765</v>
      </c>
      <c r="Y306">
        <f t="shared" si="41"/>
        <v>0.1</v>
      </c>
      <c r="Z306">
        <f t="shared" si="42"/>
        <v>12976.470000000001</v>
      </c>
      <c r="AA306">
        <f t="shared" si="43"/>
        <v>2956.4900000000016</v>
      </c>
      <c r="AB306" s="7">
        <f t="shared" si="44"/>
        <v>0.22783468847845378</v>
      </c>
      <c r="AC306" t="str">
        <f t="shared" si="45"/>
        <v>March</v>
      </c>
      <c r="AD306">
        <f t="shared" si="46"/>
        <v>2024</v>
      </c>
      <c r="AE306" t="str">
        <f t="shared" si="47"/>
        <v>Clean</v>
      </c>
      <c r="AF306" t="str">
        <f t="shared" si="48"/>
        <v>Match</v>
      </c>
      <c r="AG306" t="str">
        <f t="shared" si="49"/>
        <v>Match</v>
      </c>
    </row>
    <row r="307" spans="1:33">
      <c r="A307" t="s">
        <v>1019</v>
      </c>
      <c r="B307" s="3">
        <v>45413</v>
      </c>
      <c r="C307" s="3">
        <v>45414</v>
      </c>
      <c r="D307">
        <f t="shared" si="40"/>
        <v>1</v>
      </c>
      <c r="E307" t="s">
        <v>1020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1021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>
        <v>1</v>
      </c>
      <c r="X307" t="s">
        <v>2765</v>
      </c>
      <c r="Y307">
        <f t="shared" si="41"/>
        <v>0.55000000000000004</v>
      </c>
      <c r="Z307">
        <f t="shared" si="42"/>
        <v>7480.9080000000004</v>
      </c>
      <c r="AA307">
        <f t="shared" si="43"/>
        <v>-2371.0019999999995</v>
      </c>
      <c r="AB307" s="7">
        <f t="shared" si="44"/>
        <v>-0.31694040349112695</v>
      </c>
      <c r="AC307" t="str">
        <f t="shared" si="45"/>
        <v>May</v>
      </c>
      <c r="AD307">
        <f t="shared" si="46"/>
        <v>2024</v>
      </c>
      <c r="AE307" t="str">
        <f t="shared" si="47"/>
        <v>Clean</v>
      </c>
      <c r="AF307" t="str">
        <f t="shared" si="48"/>
        <v>Mismatch</v>
      </c>
      <c r="AG307" t="str">
        <f t="shared" si="49"/>
        <v>Mismatch</v>
      </c>
    </row>
    <row r="308" spans="1:33">
      <c r="A308" t="s">
        <v>1022</v>
      </c>
      <c r="B308" s="3">
        <v>45708</v>
      </c>
      <c r="C308" s="3">
        <v>45711</v>
      </c>
      <c r="D308">
        <f t="shared" si="40"/>
        <v>3</v>
      </c>
      <c r="E308" t="s">
        <v>1023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1024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>
        <v>1</v>
      </c>
      <c r="X308" t="s">
        <v>2765</v>
      </c>
      <c r="Y308">
        <f t="shared" si="41"/>
        <v>0</v>
      </c>
      <c r="Z308">
        <f t="shared" si="42"/>
        <v>14692.44</v>
      </c>
      <c r="AA308">
        <f t="shared" si="43"/>
        <v>4610.25</v>
      </c>
      <c r="AB308" s="7">
        <f t="shared" si="44"/>
        <v>0.31378382351740075</v>
      </c>
      <c r="AC308" t="str">
        <f t="shared" si="45"/>
        <v>February</v>
      </c>
      <c r="AD308">
        <f t="shared" si="46"/>
        <v>2025</v>
      </c>
      <c r="AE308" t="str">
        <f t="shared" si="47"/>
        <v>Clean</v>
      </c>
      <c r="AF308" t="str">
        <f t="shared" si="48"/>
        <v>Match</v>
      </c>
      <c r="AG308" t="str">
        <f t="shared" si="49"/>
        <v>Match</v>
      </c>
    </row>
    <row r="309" spans="1:33">
      <c r="A309" t="s">
        <v>1025</v>
      </c>
      <c r="B309" s="3">
        <v>45850</v>
      </c>
      <c r="C309" s="3">
        <v>45857</v>
      </c>
      <c r="D309">
        <f t="shared" si="40"/>
        <v>7</v>
      </c>
      <c r="E309" t="s">
        <v>1026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1027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>
        <v>1</v>
      </c>
      <c r="X309" t="s">
        <v>2765</v>
      </c>
      <c r="Y309">
        <f t="shared" si="41"/>
        <v>0.2</v>
      </c>
      <c r="Z309">
        <f t="shared" si="42"/>
        <v>29469.888000000003</v>
      </c>
      <c r="AA309">
        <f t="shared" si="43"/>
        <v>10534.378000000004</v>
      </c>
      <c r="AB309" s="7">
        <f t="shared" si="44"/>
        <v>0.3574624375905332</v>
      </c>
      <c r="AC309" t="str">
        <f t="shared" si="45"/>
        <v>July</v>
      </c>
      <c r="AD309">
        <f t="shared" si="46"/>
        <v>2025</v>
      </c>
      <c r="AE309" t="str">
        <f t="shared" si="47"/>
        <v>Clean</v>
      </c>
      <c r="AF309" t="str">
        <f t="shared" si="48"/>
        <v>Match</v>
      </c>
      <c r="AG309" t="str">
        <f t="shared" si="49"/>
        <v>Match</v>
      </c>
    </row>
    <row r="310" spans="1:33">
      <c r="A310" t="s">
        <v>1028</v>
      </c>
      <c r="B310" s="3">
        <v>45821</v>
      </c>
      <c r="C310" s="3">
        <v>45827</v>
      </c>
      <c r="D310">
        <f t="shared" si="40"/>
        <v>6</v>
      </c>
      <c r="E310" t="s">
        <v>1029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1030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>
        <v>1</v>
      </c>
      <c r="X310" t="s">
        <v>2765</v>
      </c>
      <c r="Y310">
        <f t="shared" si="41"/>
        <v>0.2</v>
      </c>
      <c r="Z310">
        <f t="shared" si="42"/>
        <v>2341.0240000000003</v>
      </c>
      <c r="AA310">
        <f t="shared" si="43"/>
        <v>775.53400000000033</v>
      </c>
      <c r="AB310" s="7">
        <f t="shared" si="44"/>
        <v>0.33127981601213835</v>
      </c>
      <c r="AC310" t="str">
        <f t="shared" si="45"/>
        <v>June</v>
      </c>
      <c r="AD310">
        <f t="shared" si="46"/>
        <v>2025</v>
      </c>
      <c r="AE310" t="str">
        <f t="shared" si="47"/>
        <v>Clean</v>
      </c>
      <c r="AF310" t="str">
        <f t="shared" si="48"/>
        <v>Match</v>
      </c>
      <c r="AG310" t="str">
        <f t="shared" si="49"/>
        <v>Match</v>
      </c>
    </row>
    <row r="311" spans="1:33">
      <c r="A311" t="s">
        <v>1031</v>
      </c>
      <c r="B311" s="3">
        <v>45493</v>
      </c>
      <c r="C311" s="3">
        <v>45495</v>
      </c>
      <c r="D311">
        <f t="shared" si="40"/>
        <v>2</v>
      </c>
      <c r="E311" t="s">
        <v>1032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1033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>
        <v>1</v>
      </c>
      <c r="X311" t="s">
        <v>2765</v>
      </c>
      <c r="Y311">
        <f t="shared" si="41"/>
        <v>0.1</v>
      </c>
      <c r="Z311">
        <f t="shared" si="42"/>
        <v>12982.599</v>
      </c>
      <c r="AA311">
        <f t="shared" si="43"/>
        <v>5736.2390000000005</v>
      </c>
      <c r="AB311" s="7">
        <f t="shared" si="44"/>
        <v>0.441840574448922</v>
      </c>
      <c r="AC311" t="str">
        <f t="shared" si="45"/>
        <v>July</v>
      </c>
      <c r="AD311">
        <f t="shared" si="46"/>
        <v>2024</v>
      </c>
      <c r="AE311" t="str">
        <f t="shared" si="47"/>
        <v>Clean</v>
      </c>
      <c r="AF311" t="str">
        <f t="shared" si="48"/>
        <v>Match</v>
      </c>
      <c r="AG311" t="str">
        <f t="shared" si="49"/>
        <v>Match</v>
      </c>
    </row>
    <row r="312" spans="1:33">
      <c r="A312" t="s">
        <v>1034</v>
      </c>
      <c r="B312" s="3">
        <v>45477</v>
      </c>
      <c r="C312" s="3">
        <v>45481</v>
      </c>
      <c r="D312">
        <f t="shared" si="40"/>
        <v>4</v>
      </c>
      <c r="E312" t="s">
        <v>1035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1036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>
        <v>1</v>
      </c>
      <c r="X312" t="s">
        <v>2765</v>
      </c>
      <c r="Y312">
        <f t="shared" si="41"/>
        <v>0</v>
      </c>
      <c r="Z312">
        <f t="shared" si="42"/>
        <v>16274</v>
      </c>
      <c r="AA312">
        <f t="shared" si="43"/>
        <v>6849.75</v>
      </c>
      <c r="AB312" s="7">
        <f t="shared" si="44"/>
        <v>0.42090143787636719</v>
      </c>
      <c r="AC312" t="str">
        <f t="shared" si="45"/>
        <v>July</v>
      </c>
      <c r="AD312">
        <f t="shared" si="46"/>
        <v>2024</v>
      </c>
      <c r="AE312" t="str">
        <f t="shared" si="47"/>
        <v>Clean</v>
      </c>
      <c r="AF312" t="str">
        <f t="shared" si="48"/>
        <v>Match</v>
      </c>
      <c r="AG312" t="str">
        <f t="shared" si="49"/>
        <v>Match</v>
      </c>
    </row>
    <row r="313" spans="1:33">
      <c r="A313" t="s">
        <v>1037</v>
      </c>
      <c r="B313" s="3">
        <v>45409</v>
      </c>
      <c r="C313" s="3">
        <v>45414</v>
      </c>
      <c r="D313">
        <f t="shared" si="40"/>
        <v>5</v>
      </c>
      <c r="E313" t="s">
        <v>1038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1039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>
        <v>1</v>
      </c>
      <c r="X313" t="s">
        <v>2765</v>
      </c>
      <c r="Y313">
        <f t="shared" si="41"/>
        <v>0.1</v>
      </c>
      <c r="Z313">
        <f t="shared" si="42"/>
        <v>2493.1799999999998</v>
      </c>
      <c r="AA313">
        <f t="shared" si="43"/>
        <v>729.17999999999984</v>
      </c>
      <c r="AB313" s="7">
        <f t="shared" si="44"/>
        <v>0.29246985777200196</v>
      </c>
      <c r="AC313" t="str">
        <f t="shared" si="45"/>
        <v>April</v>
      </c>
      <c r="AD313">
        <f t="shared" si="46"/>
        <v>2024</v>
      </c>
      <c r="AE313" t="str">
        <f t="shared" si="47"/>
        <v>Clean</v>
      </c>
      <c r="AF313" t="str">
        <f t="shared" si="48"/>
        <v>Match</v>
      </c>
      <c r="AG313" t="str">
        <f t="shared" si="49"/>
        <v>Match</v>
      </c>
    </row>
    <row r="314" spans="1:33">
      <c r="A314" t="s">
        <v>1040</v>
      </c>
      <c r="B314" s="3">
        <v>45504</v>
      </c>
      <c r="C314" s="3">
        <v>45508</v>
      </c>
      <c r="D314">
        <f t="shared" si="40"/>
        <v>4</v>
      </c>
      <c r="E314" t="s">
        <v>1041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1042</v>
      </c>
      <c r="N314" t="s">
        <v>59</v>
      </c>
      <c r="O314">
        <v>8</v>
      </c>
      <c r="P314">
        <v>2614.7399999999998</v>
      </c>
      <c r="Q314"/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>
        <v>1</v>
      </c>
      <c r="X314" t="s">
        <v>2765</v>
      </c>
      <c r="Y314">
        <f t="shared" si="41"/>
        <v>0</v>
      </c>
      <c r="Z314">
        <f t="shared" si="42"/>
        <v>20917.919999999998</v>
      </c>
      <c r="AA314">
        <f t="shared" si="43"/>
        <v>10870.589999999998</v>
      </c>
      <c r="AB314" s="7">
        <f t="shared" si="44"/>
        <v>0.5196783427797792</v>
      </c>
      <c r="AC314" t="str">
        <f t="shared" si="45"/>
        <v>July</v>
      </c>
      <c r="AD314">
        <f t="shared" si="46"/>
        <v>2024</v>
      </c>
      <c r="AE314" t="str">
        <f t="shared" si="47"/>
        <v>Clean</v>
      </c>
      <c r="AF314" t="str">
        <f t="shared" si="48"/>
        <v>Mismatch</v>
      </c>
      <c r="AG314" t="str">
        <f t="shared" si="49"/>
        <v>Mismatch</v>
      </c>
    </row>
    <row r="315" spans="1:33">
      <c r="A315" t="s">
        <v>1043</v>
      </c>
      <c r="B315" s="3">
        <v>45807</v>
      </c>
      <c r="C315" s="3">
        <v>45808</v>
      </c>
      <c r="D315">
        <f t="shared" si="40"/>
        <v>1</v>
      </c>
      <c r="E315" t="s">
        <v>1044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1045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>
        <v>1</v>
      </c>
      <c r="X315" t="s">
        <v>2765</v>
      </c>
      <c r="Y315">
        <f t="shared" si="41"/>
        <v>0.25</v>
      </c>
      <c r="Z315">
        <f t="shared" si="42"/>
        <v>12488.579999999998</v>
      </c>
      <c r="AA315">
        <f t="shared" si="43"/>
        <v>1771.1799999999985</v>
      </c>
      <c r="AB315" s="7">
        <f t="shared" si="44"/>
        <v>0.14182397037933847</v>
      </c>
      <c r="AC315" t="str">
        <f t="shared" si="45"/>
        <v>May</v>
      </c>
      <c r="AD315">
        <f t="shared" si="46"/>
        <v>2025</v>
      </c>
      <c r="AE315" t="str">
        <f t="shared" si="47"/>
        <v>Clean</v>
      </c>
      <c r="AF315" t="str">
        <f t="shared" si="48"/>
        <v>Match</v>
      </c>
      <c r="AG315" t="str">
        <f t="shared" si="49"/>
        <v>Match</v>
      </c>
    </row>
    <row r="316" spans="1:33">
      <c r="A316" t="s">
        <v>1046</v>
      </c>
      <c r="B316" s="3">
        <v>45795</v>
      </c>
      <c r="C316" s="3">
        <v>45797</v>
      </c>
      <c r="D316">
        <f t="shared" si="40"/>
        <v>2</v>
      </c>
      <c r="E316" t="s">
        <v>1047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1048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>
        <v>2</v>
      </c>
      <c r="X316" t="s">
        <v>2764</v>
      </c>
      <c r="Y316">
        <f t="shared" si="41"/>
        <v>0.15</v>
      </c>
      <c r="Z316">
        <f t="shared" si="42"/>
        <v>6485.3639999999996</v>
      </c>
      <c r="AA316">
        <f t="shared" si="43"/>
        <v>1109.1939999999995</v>
      </c>
      <c r="AB316" s="7">
        <f t="shared" si="44"/>
        <v>0.17103033846673826</v>
      </c>
      <c r="AC316" t="str">
        <f t="shared" si="45"/>
        <v>May</v>
      </c>
      <c r="AD316">
        <f t="shared" si="46"/>
        <v>2025</v>
      </c>
      <c r="AE316" t="str">
        <f t="shared" si="47"/>
        <v>Warning</v>
      </c>
      <c r="AF316" t="str">
        <f t="shared" si="48"/>
        <v>Match</v>
      </c>
      <c r="AG316" t="str">
        <f t="shared" si="49"/>
        <v>Match</v>
      </c>
    </row>
    <row r="317" spans="1:33">
      <c r="A317" t="s">
        <v>1049</v>
      </c>
      <c r="B317" s="3">
        <v>45475</v>
      </c>
      <c r="C317" s="3">
        <v>45481</v>
      </c>
      <c r="D317">
        <f t="shared" si="40"/>
        <v>6</v>
      </c>
      <c r="E317" t="s">
        <v>1050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1051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>
        <v>1</v>
      </c>
      <c r="X317" t="s">
        <v>2765</v>
      </c>
      <c r="Y317">
        <f t="shared" si="41"/>
        <v>0.05</v>
      </c>
      <c r="Z317">
        <f t="shared" si="42"/>
        <v>29500.920000000002</v>
      </c>
      <c r="AA317">
        <f t="shared" si="43"/>
        <v>11511.240000000002</v>
      </c>
      <c r="AB317" s="7">
        <f t="shared" si="44"/>
        <v>0.39019935649464493</v>
      </c>
      <c r="AC317" t="str">
        <f t="shared" si="45"/>
        <v>July</v>
      </c>
      <c r="AD317">
        <f t="shared" si="46"/>
        <v>2024</v>
      </c>
      <c r="AE317" t="str">
        <f t="shared" si="47"/>
        <v>Clean</v>
      </c>
      <c r="AF317" t="str">
        <f t="shared" si="48"/>
        <v>Match</v>
      </c>
      <c r="AG317" t="str">
        <f t="shared" si="49"/>
        <v>Match</v>
      </c>
    </row>
    <row r="318" spans="1:33">
      <c r="A318" t="s">
        <v>1052</v>
      </c>
      <c r="B318" s="3">
        <v>45338</v>
      </c>
      <c r="C318" s="3">
        <v>45340</v>
      </c>
      <c r="D318">
        <f t="shared" si="40"/>
        <v>2</v>
      </c>
      <c r="E318" t="s">
        <v>1053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1054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>
        <v>1</v>
      </c>
      <c r="X318" t="s">
        <v>2765</v>
      </c>
      <c r="Y318">
        <f t="shared" si="41"/>
        <v>0.2</v>
      </c>
      <c r="Z318">
        <f t="shared" si="42"/>
        <v>3116.0480000000002</v>
      </c>
      <c r="AA318">
        <f t="shared" si="43"/>
        <v>1159.4180000000001</v>
      </c>
      <c r="AB318" s="7">
        <f t="shared" si="44"/>
        <v>0.37207963420332424</v>
      </c>
      <c r="AC318" t="str">
        <f t="shared" si="45"/>
        <v>February</v>
      </c>
      <c r="AD318">
        <f t="shared" si="46"/>
        <v>2024</v>
      </c>
      <c r="AE318" t="str">
        <f t="shared" si="47"/>
        <v>Clean</v>
      </c>
      <c r="AF318" t="str">
        <f t="shared" si="48"/>
        <v>Match</v>
      </c>
      <c r="AG318" t="str">
        <f t="shared" si="49"/>
        <v>Match</v>
      </c>
    </row>
    <row r="319" spans="1:33">
      <c r="A319" t="s">
        <v>1055</v>
      </c>
      <c r="B319" s="3">
        <v>45898</v>
      </c>
      <c r="C319" s="3">
        <v>45904</v>
      </c>
      <c r="D319">
        <f t="shared" si="40"/>
        <v>6</v>
      </c>
      <c r="E319" t="s">
        <v>1056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1057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>
        <v>1</v>
      </c>
      <c r="X319" t="s">
        <v>2765</v>
      </c>
      <c r="Y319">
        <f t="shared" si="41"/>
        <v>0.15</v>
      </c>
      <c r="Z319">
        <f t="shared" si="42"/>
        <v>22926.820499999998</v>
      </c>
      <c r="AA319">
        <f t="shared" si="43"/>
        <v>8305.2304999999978</v>
      </c>
      <c r="AB319" s="7">
        <f t="shared" si="44"/>
        <v>0.36224955396671765</v>
      </c>
      <c r="AC319" t="str">
        <f t="shared" si="45"/>
        <v>August</v>
      </c>
      <c r="AD319">
        <f t="shared" si="46"/>
        <v>2025</v>
      </c>
      <c r="AE319" t="str">
        <f t="shared" si="47"/>
        <v>Clean</v>
      </c>
      <c r="AF319" t="str">
        <f t="shared" si="48"/>
        <v>Match</v>
      </c>
      <c r="AG319" t="str">
        <f t="shared" si="49"/>
        <v>Match</v>
      </c>
    </row>
    <row r="320" spans="1:33">
      <c r="A320" t="s">
        <v>1058</v>
      </c>
      <c r="B320" s="3">
        <v>45407</v>
      </c>
      <c r="C320" s="3">
        <v>45412</v>
      </c>
      <c r="D320">
        <f t="shared" si="40"/>
        <v>5</v>
      </c>
      <c r="E320" t="s">
        <v>1059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1060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>
        <v>1</v>
      </c>
      <c r="X320" t="s">
        <v>2765</v>
      </c>
      <c r="Y320">
        <f t="shared" si="41"/>
        <v>0.1</v>
      </c>
      <c r="Z320">
        <f t="shared" si="42"/>
        <v>11203.542000000001</v>
      </c>
      <c r="AA320">
        <f t="shared" si="43"/>
        <v>2750.612000000001</v>
      </c>
      <c r="AB320" s="7">
        <f t="shared" si="44"/>
        <v>0.24551271374713468</v>
      </c>
      <c r="AC320" t="str">
        <f t="shared" si="45"/>
        <v>April</v>
      </c>
      <c r="AD320">
        <f t="shared" si="46"/>
        <v>2024</v>
      </c>
      <c r="AE320" t="str">
        <f t="shared" si="47"/>
        <v>Clean</v>
      </c>
      <c r="AF320" t="str">
        <f t="shared" si="48"/>
        <v>Match</v>
      </c>
      <c r="AG320" t="str">
        <f t="shared" si="49"/>
        <v>Match</v>
      </c>
    </row>
    <row r="321" spans="1:33">
      <c r="A321" t="s">
        <v>1061</v>
      </c>
      <c r="B321" s="3">
        <v>45525</v>
      </c>
      <c r="C321" s="3">
        <v>45529</v>
      </c>
      <c r="D321">
        <f t="shared" si="40"/>
        <v>4</v>
      </c>
      <c r="E321" t="s">
        <v>1062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1063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>
        <v>1</v>
      </c>
      <c r="X321" t="s">
        <v>2765</v>
      </c>
      <c r="Y321">
        <f t="shared" si="41"/>
        <v>0</v>
      </c>
      <c r="Z321">
        <f t="shared" si="42"/>
        <v>270.27999999999997</v>
      </c>
      <c r="AA321">
        <f t="shared" si="43"/>
        <v>113.93999999999997</v>
      </c>
      <c r="AB321" s="7">
        <f t="shared" si="44"/>
        <v>0.42156282373834536</v>
      </c>
      <c r="AC321" t="str">
        <f t="shared" si="45"/>
        <v>August</v>
      </c>
      <c r="AD321">
        <f t="shared" si="46"/>
        <v>2024</v>
      </c>
      <c r="AE321" t="str">
        <f t="shared" si="47"/>
        <v>Clean</v>
      </c>
      <c r="AF321" t="str">
        <f t="shared" si="48"/>
        <v>Match</v>
      </c>
      <c r="AG321" t="str">
        <f t="shared" si="49"/>
        <v>Match</v>
      </c>
    </row>
    <row r="322" spans="1:33">
      <c r="A322" t="s">
        <v>1064</v>
      </c>
      <c r="B322" s="3">
        <v>45630</v>
      </c>
      <c r="C322" s="3">
        <v>45632</v>
      </c>
      <c r="D322">
        <f t="shared" ref="D322:D385" si="50">C322-B322</f>
        <v>2</v>
      </c>
      <c r="E322" t="s">
        <v>1065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1066</v>
      </c>
      <c r="N322" t="s">
        <v>31</v>
      </c>
      <c r="O322">
        <v>3</v>
      </c>
      <c r="P322">
        <v>876.14</v>
      </c>
      <c r="Q322" s="5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>
        <v>1</v>
      </c>
      <c r="X322" t="s">
        <v>2765</v>
      </c>
      <c r="Y322">
        <f t="shared" si="41"/>
        <v>0.7</v>
      </c>
      <c r="Z322">
        <f t="shared" si="42"/>
        <v>788.52600000000018</v>
      </c>
      <c r="AA322">
        <f t="shared" si="43"/>
        <v>-753.01399999999978</v>
      </c>
      <c r="AB322" s="7">
        <f t="shared" si="44"/>
        <v>-0.95496407220560842</v>
      </c>
      <c r="AC322" t="str">
        <f t="shared" si="45"/>
        <v>December</v>
      </c>
      <c r="AD322">
        <f t="shared" si="46"/>
        <v>2024</v>
      </c>
      <c r="AE322" t="str">
        <f t="shared" si="47"/>
        <v>Clean</v>
      </c>
      <c r="AF322" t="str">
        <f t="shared" si="48"/>
        <v>Mismatch</v>
      </c>
      <c r="AG322" t="str">
        <f t="shared" si="49"/>
        <v>Mismatch</v>
      </c>
    </row>
    <row r="323" spans="1:33">
      <c r="A323" t="s">
        <v>1067</v>
      </c>
      <c r="B323" s="3">
        <v>45466</v>
      </c>
      <c r="C323" s="3">
        <v>45473</v>
      </c>
      <c r="D323">
        <f t="shared" si="50"/>
        <v>7</v>
      </c>
      <c r="E323" t="s">
        <v>1068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1069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>
        <v>1</v>
      </c>
      <c r="X323" t="s">
        <v>2765</v>
      </c>
      <c r="Y323">
        <f t="shared" ref="Y323:Y386" si="51">IF(
Q323="",
0,
IF(Q323&gt;1,
Q323/100,
Q323)
)</f>
        <v>0</v>
      </c>
      <c r="Z323">
        <f t="shared" ref="Z323:Z386" si="52">O323*P323*(1-Y323)</f>
        <v>2699.28</v>
      </c>
      <c r="AA323">
        <f t="shared" ref="AA323:AA386" si="53">Z323-S323</f>
        <v>939.52000000000021</v>
      </c>
      <c r="AB323" s="7">
        <f t="shared" ref="AB323:AB386" si="54">IF(Z323=0,0,
AA323/Z323)</f>
        <v>0.34806318722029583</v>
      </c>
      <c r="AC323" t="str">
        <f t="shared" ref="AC323:AC386" si="55">TEXT(B323,"mmmm")</f>
        <v>June</v>
      </c>
      <c r="AD323">
        <f t="shared" ref="AD323:AD386" si="56">YEAR(B323)</f>
        <v>2024</v>
      </c>
      <c r="AE323" t="str">
        <f t="shared" ref="AE323:AE386" si="57">IF(
OR(
Y323&lt;0,
D323&lt;0
),
"Invalid",
IF(
X323="Review Required",
"Warning",
"Clean"
)
)</f>
        <v>Clean</v>
      </c>
      <c r="AF323" t="str">
        <f t="shared" ref="AF323:AF386" si="58">IF(ABS(R323-Z323)&gt;0.01,
"Mismatch",
"Match")</f>
        <v>Match</v>
      </c>
      <c r="AG323" t="str">
        <f t="shared" ref="AG323:AG386" si="59">IF(ABS(T323-AA323)&gt;0.01,
"Mismatch",
"Match")</f>
        <v>Match</v>
      </c>
    </row>
    <row r="324" spans="1:33">
      <c r="A324" t="s">
        <v>1070</v>
      </c>
      <c r="B324" s="3">
        <v>45608</v>
      </c>
      <c r="C324" s="3">
        <v>45608</v>
      </c>
      <c r="D324">
        <f t="shared" si="50"/>
        <v>0</v>
      </c>
      <c r="E324" t="s">
        <v>1071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1072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>
        <v>1</v>
      </c>
      <c r="X324" t="s">
        <v>2765</v>
      </c>
      <c r="Y324">
        <f t="shared" si="51"/>
        <v>0.15</v>
      </c>
      <c r="Z324">
        <f t="shared" si="52"/>
        <v>6984.3480000000009</v>
      </c>
      <c r="AA324">
        <f t="shared" si="53"/>
        <v>2960.7180000000008</v>
      </c>
      <c r="AB324" s="7">
        <f t="shared" si="54"/>
        <v>0.42390757161584736</v>
      </c>
      <c r="AC324" t="str">
        <f t="shared" si="55"/>
        <v>November</v>
      </c>
      <c r="AD324">
        <f t="shared" si="56"/>
        <v>2024</v>
      </c>
      <c r="AE324" t="str">
        <f t="shared" si="57"/>
        <v>Clean</v>
      </c>
      <c r="AF324" t="str">
        <f t="shared" si="58"/>
        <v>Match</v>
      </c>
      <c r="AG324" t="str">
        <f t="shared" si="59"/>
        <v>Match</v>
      </c>
    </row>
    <row r="325" spans="1:33">
      <c r="A325" t="s">
        <v>1073</v>
      </c>
      <c r="B325" s="3">
        <v>45347</v>
      </c>
      <c r="C325" s="3">
        <v>45351</v>
      </c>
      <c r="D325">
        <f t="shared" si="50"/>
        <v>4</v>
      </c>
      <c r="E325" t="s">
        <v>1074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>
        <v>1</v>
      </c>
      <c r="X325" t="s">
        <v>2765</v>
      </c>
      <c r="Y325">
        <f t="shared" si="51"/>
        <v>0.15</v>
      </c>
      <c r="Z325">
        <f t="shared" si="52"/>
        <v>10185.669</v>
      </c>
      <c r="AA325">
        <f t="shared" si="53"/>
        <v>3706.3589999999995</v>
      </c>
      <c r="AB325" s="7">
        <f t="shared" si="54"/>
        <v>0.36387978050337189</v>
      </c>
      <c r="AC325" t="str">
        <f t="shared" si="55"/>
        <v>February</v>
      </c>
      <c r="AD325">
        <f t="shared" si="56"/>
        <v>2024</v>
      </c>
      <c r="AE325" t="str">
        <f t="shared" si="57"/>
        <v>Clean</v>
      </c>
      <c r="AF325" t="str">
        <f t="shared" si="58"/>
        <v>Match</v>
      </c>
      <c r="AG325" t="str">
        <f t="shared" si="59"/>
        <v>Match</v>
      </c>
    </row>
    <row r="326" spans="1:33">
      <c r="A326" t="s">
        <v>1075</v>
      </c>
      <c r="B326" s="3">
        <v>45869</v>
      </c>
      <c r="C326" s="3">
        <v>45871</v>
      </c>
      <c r="D326">
        <f t="shared" si="50"/>
        <v>2</v>
      </c>
      <c r="E326" t="s">
        <v>1076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1077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>
        <v>1</v>
      </c>
      <c r="X326" t="s">
        <v>2765</v>
      </c>
      <c r="Y326">
        <f t="shared" si="51"/>
        <v>0.15</v>
      </c>
      <c r="Z326">
        <f t="shared" si="52"/>
        <v>1655.6980000000001</v>
      </c>
      <c r="AA326">
        <f t="shared" si="53"/>
        <v>300.89800000000014</v>
      </c>
      <c r="AB326" s="7">
        <f t="shared" si="54"/>
        <v>0.1817348332848141</v>
      </c>
      <c r="AC326" t="str">
        <f t="shared" si="55"/>
        <v>July</v>
      </c>
      <c r="AD326">
        <f t="shared" si="56"/>
        <v>2025</v>
      </c>
      <c r="AE326" t="str">
        <f t="shared" si="57"/>
        <v>Clean</v>
      </c>
      <c r="AF326" t="str">
        <f t="shared" si="58"/>
        <v>Match</v>
      </c>
      <c r="AG326" t="str">
        <f t="shared" si="59"/>
        <v>Match</v>
      </c>
    </row>
    <row r="327" spans="1:33">
      <c r="A327" t="s">
        <v>1078</v>
      </c>
      <c r="B327" s="3">
        <v>45916</v>
      </c>
      <c r="C327" s="3">
        <v>45922</v>
      </c>
      <c r="D327">
        <f t="shared" si="50"/>
        <v>6</v>
      </c>
      <c r="E327" t="s">
        <v>1079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1080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>
        <v>1</v>
      </c>
      <c r="X327" t="s">
        <v>2765</v>
      </c>
      <c r="Y327">
        <f t="shared" si="51"/>
        <v>0.15</v>
      </c>
      <c r="Z327">
        <f t="shared" si="52"/>
        <v>15602.6</v>
      </c>
      <c r="AA327">
        <f t="shared" si="53"/>
        <v>3694.08</v>
      </c>
      <c r="AB327" s="7">
        <f t="shared" si="54"/>
        <v>0.236760539910015</v>
      </c>
      <c r="AC327" t="str">
        <f t="shared" si="55"/>
        <v>September</v>
      </c>
      <c r="AD327">
        <f t="shared" si="56"/>
        <v>2025</v>
      </c>
      <c r="AE327" t="str">
        <f t="shared" si="57"/>
        <v>Clean</v>
      </c>
      <c r="AF327" t="str">
        <f t="shared" si="58"/>
        <v>Match</v>
      </c>
      <c r="AG327" t="str">
        <f t="shared" si="59"/>
        <v>Match</v>
      </c>
    </row>
    <row r="328" spans="1:33">
      <c r="A328" t="s">
        <v>1081</v>
      </c>
      <c r="B328" s="3">
        <v>45860</v>
      </c>
      <c r="C328" s="3">
        <v>45860</v>
      </c>
      <c r="D328">
        <f t="shared" si="50"/>
        <v>0</v>
      </c>
      <c r="E328" t="s">
        <v>1082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1083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>
        <v>1</v>
      </c>
      <c r="X328" t="s">
        <v>2765</v>
      </c>
      <c r="Y328">
        <f t="shared" si="51"/>
        <v>0.05</v>
      </c>
      <c r="Z328">
        <f t="shared" si="52"/>
        <v>15138.487499999999</v>
      </c>
      <c r="AA328">
        <f t="shared" si="53"/>
        <v>3902.7674999999999</v>
      </c>
      <c r="AB328" s="7">
        <f t="shared" si="54"/>
        <v>0.25780432160082045</v>
      </c>
      <c r="AC328" t="str">
        <f t="shared" si="55"/>
        <v>July</v>
      </c>
      <c r="AD328">
        <f t="shared" si="56"/>
        <v>2025</v>
      </c>
      <c r="AE328" t="str">
        <f t="shared" si="57"/>
        <v>Clean</v>
      </c>
      <c r="AF328" t="str">
        <f t="shared" si="58"/>
        <v>Match</v>
      </c>
      <c r="AG328" t="str">
        <f t="shared" si="59"/>
        <v>Match</v>
      </c>
    </row>
    <row r="329" spans="1:33">
      <c r="A329" t="s">
        <v>1084</v>
      </c>
      <c r="B329" s="3">
        <v>45497</v>
      </c>
      <c r="C329" s="3">
        <v>45500</v>
      </c>
      <c r="D329">
        <f t="shared" si="50"/>
        <v>3</v>
      </c>
      <c r="E329" t="s">
        <v>1085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1086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>
        <v>1</v>
      </c>
      <c r="X329" t="s">
        <v>2765</v>
      </c>
      <c r="Y329">
        <f t="shared" si="51"/>
        <v>0.2</v>
      </c>
      <c r="Z329">
        <f t="shared" si="52"/>
        <v>4402.92</v>
      </c>
      <c r="AA329">
        <f t="shared" si="53"/>
        <v>1408.98</v>
      </c>
      <c r="AB329" s="7">
        <f t="shared" si="54"/>
        <v>0.32001035676323897</v>
      </c>
      <c r="AC329" t="str">
        <f t="shared" si="55"/>
        <v>July</v>
      </c>
      <c r="AD329">
        <f t="shared" si="56"/>
        <v>2024</v>
      </c>
      <c r="AE329" t="str">
        <f t="shared" si="57"/>
        <v>Clean</v>
      </c>
      <c r="AF329" t="str">
        <f t="shared" si="58"/>
        <v>Match</v>
      </c>
      <c r="AG329" t="str">
        <f t="shared" si="59"/>
        <v>Match</v>
      </c>
    </row>
    <row r="330" spans="1:33">
      <c r="A330" t="s">
        <v>1087</v>
      </c>
      <c r="B330" s="3">
        <v>45806</v>
      </c>
      <c r="C330" s="3">
        <v>45812</v>
      </c>
      <c r="D330">
        <f t="shared" si="50"/>
        <v>6</v>
      </c>
      <c r="E330" t="s">
        <v>1088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1089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>
        <v>1</v>
      </c>
      <c r="X330" t="s">
        <v>2765</v>
      </c>
      <c r="Y330">
        <f t="shared" si="51"/>
        <v>0</v>
      </c>
      <c r="Z330">
        <f t="shared" si="52"/>
        <v>18604.079999999998</v>
      </c>
      <c r="AA330">
        <f t="shared" si="53"/>
        <v>2769.7799999999988</v>
      </c>
      <c r="AB330" s="7">
        <f t="shared" si="54"/>
        <v>0.1488802456235406</v>
      </c>
      <c r="AC330" t="str">
        <f t="shared" si="55"/>
        <v>May</v>
      </c>
      <c r="AD330">
        <f t="shared" si="56"/>
        <v>2025</v>
      </c>
      <c r="AE330" t="str">
        <f t="shared" si="57"/>
        <v>Clean</v>
      </c>
      <c r="AF330" t="str">
        <f t="shared" si="58"/>
        <v>Match</v>
      </c>
      <c r="AG330" t="str">
        <f t="shared" si="59"/>
        <v>Match</v>
      </c>
    </row>
    <row r="331" spans="1:33">
      <c r="A331" t="s">
        <v>1090</v>
      </c>
      <c r="B331" s="3">
        <v>45789</v>
      </c>
      <c r="C331" s="3">
        <v>45795</v>
      </c>
      <c r="D331">
        <f t="shared" si="50"/>
        <v>6</v>
      </c>
      <c r="E331" t="s">
        <v>1091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1092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>
        <v>1</v>
      </c>
      <c r="X331" t="s">
        <v>2765</v>
      </c>
      <c r="Y331">
        <f t="shared" si="51"/>
        <v>0.05</v>
      </c>
      <c r="Z331">
        <f t="shared" si="52"/>
        <v>15401.513999999999</v>
      </c>
      <c r="AA331">
        <f t="shared" si="53"/>
        <v>6751.0939999999991</v>
      </c>
      <c r="AB331" s="7">
        <f t="shared" si="54"/>
        <v>0.43833963336331738</v>
      </c>
      <c r="AC331" t="str">
        <f t="shared" si="55"/>
        <v>May</v>
      </c>
      <c r="AD331">
        <f t="shared" si="56"/>
        <v>2025</v>
      </c>
      <c r="AE331" t="str">
        <f t="shared" si="57"/>
        <v>Clean</v>
      </c>
      <c r="AF331" t="str">
        <f t="shared" si="58"/>
        <v>Match</v>
      </c>
      <c r="AG331" t="str">
        <f t="shared" si="59"/>
        <v>Match</v>
      </c>
    </row>
    <row r="332" spans="1:33">
      <c r="A332" t="s">
        <v>1093</v>
      </c>
      <c r="B332" s="3">
        <v>45428</v>
      </c>
      <c r="C332" s="3">
        <v>45436</v>
      </c>
      <c r="D332">
        <f t="shared" si="50"/>
        <v>8</v>
      </c>
      <c r="E332" t="s">
        <v>1094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1095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>
        <v>1</v>
      </c>
      <c r="X332" t="s">
        <v>2765</v>
      </c>
      <c r="Y332">
        <f t="shared" si="51"/>
        <v>0</v>
      </c>
      <c r="Z332">
        <f t="shared" si="52"/>
        <v>783.09</v>
      </c>
      <c r="AA332">
        <f t="shared" si="53"/>
        <v>279.20000000000005</v>
      </c>
      <c r="AB332" s="7">
        <f t="shared" si="54"/>
        <v>0.3565362857398256</v>
      </c>
      <c r="AC332" t="str">
        <f t="shared" si="55"/>
        <v>May</v>
      </c>
      <c r="AD332">
        <f t="shared" si="56"/>
        <v>2024</v>
      </c>
      <c r="AE332" t="str">
        <f t="shared" si="57"/>
        <v>Clean</v>
      </c>
      <c r="AF332" t="str">
        <f t="shared" si="58"/>
        <v>Match</v>
      </c>
      <c r="AG332" t="str">
        <f t="shared" si="59"/>
        <v>Match</v>
      </c>
    </row>
    <row r="333" spans="1:33">
      <c r="A333" t="s">
        <v>1096</v>
      </c>
      <c r="B333" s="3">
        <v>45630</v>
      </c>
      <c r="C333" s="3">
        <v>45632</v>
      </c>
      <c r="D333">
        <f t="shared" si="50"/>
        <v>2</v>
      </c>
      <c r="E333" t="s">
        <v>1097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1098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>
        <v>2</v>
      </c>
      <c r="X333" t="s">
        <v>2764</v>
      </c>
      <c r="Y333">
        <f t="shared" si="51"/>
        <v>0</v>
      </c>
      <c r="Z333">
        <f t="shared" si="52"/>
        <v>10742.64</v>
      </c>
      <c r="AA333">
        <f t="shared" si="53"/>
        <v>4265.2699999999995</v>
      </c>
      <c r="AB333" s="7">
        <f t="shared" si="54"/>
        <v>0.39704113700170535</v>
      </c>
      <c r="AC333" t="str">
        <f t="shared" si="55"/>
        <v>December</v>
      </c>
      <c r="AD333">
        <f t="shared" si="56"/>
        <v>2024</v>
      </c>
      <c r="AE333" t="str">
        <f t="shared" si="57"/>
        <v>Warning</v>
      </c>
      <c r="AF333" t="str">
        <f t="shared" si="58"/>
        <v>Match</v>
      </c>
      <c r="AG333" t="str">
        <f t="shared" si="59"/>
        <v>Match</v>
      </c>
    </row>
    <row r="334" spans="1:33">
      <c r="A334" t="s">
        <v>1099</v>
      </c>
      <c r="B334" s="3">
        <v>45804</v>
      </c>
      <c r="C334" s="3">
        <v>45805</v>
      </c>
      <c r="D334">
        <f t="shared" si="50"/>
        <v>1</v>
      </c>
      <c r="E334" t="s">
        <v>1100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1101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>
        <v>1</v>
      </c>
      <c r="X334" t="s">
        <v>2765</v>
      </c>
      <c r="Y334">
        <f t="shared" si="51"/>
        <v>0</v>
      </c>
      <c r="Z334">
        <f t="shared" si="52"/>
        <v>7823.92</v>
      </c>
      <c r="AA334">
        <f t="shared" si="53"/>
        <v>1789.29</v>
      </c>
      <c r="AB334" s="7">
        <f t="shared" si="54"/>
        <v>0.22869482305545047</v>
      </c>
      <c r="AC334" t="str">
        <f t="shared" si="55"/>
        <v>May</v>
      </c>
      <c r="AD334">
        <f t="shared" si="56"/>
        <v>2025</v>
      </c>
      <c r="AE334" t="str">
        <f t="shared" si="57"/>
        <v>Clean</v>
      </c>
      <c r="AF334" t="str">
        <f t="shared" si="58"/>
        <v>Match</v>
      </c>
      <c r="AG334" t="str">
        <f t="shared" si="59"/>
        <v>Match</v>
      </c>
    </row>
    <row r="335" spans="1:33">
      <c r="A335" t="s">
        <v>1102</v>
      </c>
      <c r="B335" s="3">
        <v>45830</v>
      </c>
      <c r="C335" s="3">
        <v>45835</v>
      </c>
      <c r="D335">
        <f t="shared" si="50"/>
        <v>5</v>
      </c>
      <c r="E335" t="s">
        <v>1103</v>
      </c>
      <c r="F335" t="s">
        <v>141</v>
      </c>
      <c r="G335" t="s">
        <v>95</v>
      </c>
      <c r="H335" t="s">
        <v>2760</v>
      </c>
      <c r="I335" t="s">
        <v>350</v>
      </c>
      <c r="J335" t="s">
        <v>351</v>
      </c>
      <c r="K335" t="s">
        <v>74</v>
      </c>
      <c r="L335" t="s">
        <v>171</v>
      </c>
      <c r="M335" t="s">
        <v>1104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>
        <v>1</v>
      </c>
      <c r="X335" t="s">
        <v>2765</v>
      </c>
      <c r="Y335">
        <f t="shared" si="51"/>
        <v>0</v>
      </c>
      <c r="Z335">
        <f t="shared" si="52"/>
        <v>2936.1</v>
      </c>
      <c r="AA335">
        <f t="shared" si="53"/>
        <v>1013</v>
      </c>
      <c r="AB335" s="7">
        <f t="shared" si="54"/>
        <v>0.34501549674738602</v>
      </c>
      <c r="AC335" t="str">
        <f t="shared" si="55"/>
        <v>June</v>
      </c>
      <c r="AD335">
        <f t="shared" si="56"/>
        <v>2025</v>
      </c>
      <c r="AE335" t="str">
        <f t="shared" si="57"/>
        <v>Clean</v>
      </c>
      <c r="AF335" t="str">
        <f t="shared" si="58"/>
        <v>Match</v>
      </c>
      <c r="AG335" t="str">
        <f t="shared" si="59"/>
        <v>Match</v>
      </c>
    </row>
    <row r="336" spans="1:33">
      <c r="A336" t="s">
        <v>1105</v>
      </c>
      <c r="B336" s="3">
        <v>45547</v>
      </c>
      <c r="C336" s="3">
        <v>45552</v>
      </c>
      <c r="D336">
        <f t="shared" si="50"/>
        <v>5</v>
      </c>
      <c r="E336" t="s">
        <v>1106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1107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>
        <v>1</v>
      </c>
      <c r="X336" t="s">
        <v>2765</v>
      </c>
      <c r="Y336">
        <f t="shared" si="51"/>
        <v>0.25</v>
      </c>
      <c r="Z336">
        <f t="shared" si="52"/>
        <v>12969.922500000001</v>
      </c>
      <c r="AA336">
        <f t="shared" si="53"/>
        <v>3571.4625000000015</v>
      </c>
      <c r="AB336" s="7">
        <f t="shared" si="54"/>
        <v>0.27536498386941027</v>
      </c>
      <c r="AC336" t="str">
        <f t="shared" si="55"/>
        <v>September</v>
      </c>
      <c r="AD336">
        <f t="shared" si="56"/>
        <v>2024</v>
      </c>
      <c r="AE336" t="str">
        <f t="shared" si="57"/>
        <v>Clean</v>
      </c>
      <c r="AF336" t="str">
        <f t="shared" si="58"/>
        <v>Match</v>
      </c>
      <c r="AG336" t="str">
        <f t="shared" si="59"/>
        <v>Match</v>
      </c>
    </row>
    <row r="337" spans="1:33">
      <c r="A337" t="s">
        <v>1108</v>
      </c>
      <c r="B337" s="3">
        <v>45824</v>
      </c>
      <c r="C337" s="3">
        <v>45826</v>
      </c>
      <c r="D337">
        <f t="shared" si="50"/>
        <v>2</v>
      </c>
      <c r="E337" t="s">
        <v>1109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1110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>
        <v>2</v>
      </c>
      <c r="X337" t="s">
        <v>2764</v>
      </c>
      <c r="Y337">
        <f t="shared" si="51"/>
        <v>0.1</v>
      </c>
      <c r="Z337">
        <f t="shared" si="52"/>
        <v>11581.299000000001</v>
      </c>
      <c r="AA337">
        <f t="shared" si="53"/>
        <v>4751.8690000000006</v>
      </c>
      <c r="AB337" s="7">
        <f t="shared" si="54"/>
        <v>0.41030535521101735</v>
      </c>
      <c r="AC337" t="str">
        <f t="shared" si="55"/>
        <v>June</v>
      </c>
      <c r="AD337">
        <f t="shared" si="56"/>
        <v>2025</v>
      </c>
      <c r="AE337" t="str">
        <f t="shared" si="57"/>
        <v>Warning</v>
      </c>
      <c r="AF337" t="str">
        <f t="shared" si="58"/>
        <v>Match</v>
      </c>
      <c r="AG337" t="str">
        <f t="shared" si="59"/>
        <v>Match</v>
      </c>
    </row>
    <row r="338" spans="1:33">
      <c r="A338" t="s">
        <v>1111</v>
      </c>
      <c r="B338" s="3">
        <v>45368</v>
      </c>
      <c r="C338" s="3">
        <v>45372</v>
      </c>
      <c r="D338">
        <f t="shared" si="50"/>
        <v>4</v>
      </c>
      <c r="E338" t="s">
        <v>863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1112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>
        <v>1</v>
      </c>
      <c r="X338" t="s">
        <v>2765</v>
      </c>
      <c r="Y338">
        <f t="shared" si="51"/>
        <v>0</v>
      </c>
      <c r="Z338">
        <f t="shared" si="52"/>
        <v>15940.56</v>
      </c>
      <c r="AA338">
        <f t="shared" si="53"/>
        <v>3593.41</v>
      </c>
      <c r="AB338" s="7">
        <f t="shared" si="54"/>
        <v>0.2254255810335396</v>
      </c>
      <c r="AC338" t="str">
        <f t="shared" si="55"/>
        <v>March</v>
      </c>
      <c r="AD338">
        <f t="shared" si="56"/>
        <v>2024</v>
      </c>
      <c r="AE338" t="str">
        <f t="shared" si="57"/>
        <v>Clean</v>
      </c>
      <c r="AF338" t="str">
        <f t="shared" si="58"/>
        <v>Match</v>
      </c>
      <c r="AG338" t="str">
        <f t="shared" si="59"/>
        <v>Match</v>
      </c>
    </row>
    <row r="339" spans="1:33">
      <c r="A339" t="s">
        <v>1113</v>
      </c>
      <c r="B339" s="3">
        <v>45516</v>
      </c>
      <c r="C339" s="3">
        <v>45522</v>
      </c>
      <c r="D339">
        <f t="shared" si="50"/>
        <v>6</v>
      </c>
      <c r="E339" t="s">
        <v>1114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1115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>
        <v>1</v>
      </c>
      <c r="X339" t="s">
        <v>2765</v>
      </c>
      <c r="Y339">
        <f t="shared" si="51"/>
        <v>0</v>
      </c>
      <c r="Z339">
        <f t="shared" si="52"/>
        <v>7090.4400000000005</v>
      </c>
      <c r="AA339">
        <f t="shared" si="53"/>
        <v>1418.17</v>
      </c>
      <c r="AB339" s="7">
        <f t="shared" si="54"/>
        <v>0.20001156486762456</v>
      </c>
      <c r="AC339" t="str">
        <f t="shared" si="55"/>
        <v>August</v>
      </c>
      <c r="AD339">
        <f t="shared" si="56"/>
        <v>2024</v>
      </c>
      <c r="AE339" t="str">
        <f t="shared" si="57"/>
        <v>Clean</v>
      </c>
      <c r="AF339" t="str">
        <f t="shared" si="58"/>
        <v>Match</v>
      </c>
      <c r="AG339" t="str">
        <f t="shared" si="59"/>
        <v>Mismatch</v>
      </c>
    </row>
    <row r="340" spans="1:33">
      <c r="A340" t="s">
        <v>1116</v>
      </c>
      <c r="B340" s="3">
        <v>45634</v>
      </c>
      <c r="C340" s="3">
        <v>45634</v>
      </c>
      <c r="D340">
        <f t="shared" si="50"/>
        <v>0</v>
      </c>
      <c r="E340" t="s">
        <v>1117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1118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>
        <v>1</v>
      </c>
      <c r="X340" t="s">
        <v>2765</v>
      </c>
      <c r="Y340">
        <f t="shared" si="51"/>
        <v>0.25</v>
      </c>
      <c r="Z340">
        <f t="shared" si="52"/>
        <v>26414.159999999996</v>
      </c>
      <c r="AA340">
        <f t="shared" si="53"/>
        <v>4591.6299999999974</v>
      </c>
      <c r="AB340" s="7">
        <f t="shared" si="54"/>
        <v>0.17383214154832097</v>
      </c>
      <c r="AC340" t="str">
        <f t="shared" si="55"/>
        <v>December</v>
      </c>
      <c r="AD340">
        <f t="shared" si="56"/>
        <v>2024</v>
      </c>
      <c r="AE340" t="str">
        <f t="shared" si="57"/>
        <v>Clean</v>
      </c>
      <c r="AF340" t="str">
        <f t="shared" si="58"/>
        <v>Match</v>
      </c>
      <c r="AG340" t="str">
        <f t="shared" si="59"/>
        <v>Match</v>
      </c>
    </row>
    <row r="341" spans="1:33">
      <c r="A341" t="s">
        <v>1119</v>
      </c>
      <c r="B341" s="3">
        <v>45708</v>
      </c>
      <c r="C341" s="3">
        <v>45710</v>
      </c>
      <c r="D341">
        <f t="shared" si="50"/>
        <v>2</v>
      </c>
      <c r="E341" t="s">
        <v>1120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1121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>
        <v>1</v>
      </c>
      <c r="X341" t="s">
        <v>2765</v>
      </c>
      <c r="Y341">
        <f t="shared" si="51"/>
        <v>0.2</v>
      </c>
      <c r="Z341">
        <f t="shared" si="52"/>
        <v>20900.864000000001</v>
      </c>
      <c r="AA341">
        <f t="shared" si="53"/>
        <v>8387.724000000002</v>
      </c>
      <c r="AB341" s="7">
        <f t="shared" si="54"/>
        <v>0.40130991714026759</v>
      </c>
      <c r="AC341" t="str">
        <f t="shared" si="55"/>
        <v>February</v>
      </c>
      <c r="AD341">
        <f t="shared" si="56"/>
        <v>2025</v>
      </c>
      <c r="AE341" t="str">
        <f t="shared" si="57"/>
        <v>Clean</v>
      </c>
      <c r="AF341" t="str">
        <f t="shared" si="58"/>
        <v>Match</v>
      </c>
      <c r="AG341" t="str">
        <f t="shared" si="59"/>
        <v>Match</v>
      </c>
    </row>
    <row r="342" spans="1:33">
      <c r="A342" t="s">
        <v>1122</v>
      </c>
      <c r="B342" s="3">
        <v>45312</v>
      </c>
      <c r="C342" s="3">
        <v>45320</v>
      </c>
      <c r="D342">
        <f t="shared" si="50"/>
        <v>8</v>
      </c>
      <c r="E342" t="s">
        <v>1123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1124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>
        <v>1</v>
      </c>
      <c r="X342" t="s">
        <v>2765</v>
      </c>
      <c r="Y342">
        <f t="shared" si="51"/>
        <v>0.1</v>
      </c>
      <c r="Z342">
        <f t="shared" si="52"/>
        <v>18261.36</v>
      </c>
      <c r="AA342">
        <f t="shared" si="53"/>
        <v>6861.42</v>
      </c>
      <c r="AB342" s="7">
        <f t="shared" si="54"/>
        <v>0.3757343374206521</v>
      </c>
      <c r="AC342" t="str">
        <f t="shared" si="55"/>
        <v>January</v>
      </c>
      <c r="AD342">
        <f t="shared" si="56"/>
        <v>2024</v>
      </c>
      <c r="AE342" t="str">
        <f t="shared" si="57"/>
        <v>Clean</v>
      </c>
      <c r="AF342" t="str">
        <f t="shared" si="58"/>
        <v>Match</v>
      </c>
      <c r="AG342" t="str">
        <f t="shared" si="59"/>
        <v>Match</v>
      </c>
    </row>
    <row r="343" spans="1:33">
      <c r="A343" t="s">
        <v>1125</v>
      </c>
      <c r="B343" s="3">
        <v>45908</v>
      </c>
      <c r="C343" s="3">
        <v>45909</v>
      </c>
      <c r="D343">
        <f t="shared" si="50"/>
        <v>1</v>
      </c>
      <c r="E343" t="s">
        <v>1126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1127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>
        <v>1</v>
      </c>
      <c r="X343" t="s">
        <v>2765</v>
      </c>
      <c r="Y343">
        <f t="shared" si="51"/>
        <v>0.05</v>
      </c>
      <c r="Z343">
        <f t="shared" si="52"/>
        <v>7524.6269999999995</v>
      </c>
      <c r="AA343">
        <f t="shared" si="53"/>
        <v>1295.0269999999991</v>
      </c>
      <c r="AB343" s="7">
        <f t="shared" si="54"/>
        <v>0.17210514222166751</v>
      </c>
      <c r="AC343" t="str">
        <f t="shared" si="55"/>
        <v>September</v>
      </c>
      <c r="AD343">
        <f t="shared" si="56"/>
        <v>2025</v>
      </c>
      <c r="AE343" t="str">
        <f t="shared" si="57"/>
        <v>Clean</v>
      </c>
      <c r="AF343" t="str">
        <f t="shared" si="58"/>
        <v>Match</v>
      </c>
      <c r="AG343" t="str">
        <f t="shared" si="59"/>
        <v>Match</v>
      </c>
    </row>
    <row r="344" spans="1:33">
      <c r="A344" t="s">
        <v>1128</v>
      </c>
      <c r="B344" s="3">
        <v>45862</v>
      </c>
      <c r="C344" s="3">
        <v>45870</v>
      </c>
      <c r="D344">
        <f t="shared" si="50"/>
        <v>8</v>
      </c>
      <c r="E344" t="s">
        <v>1129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1130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>
        <v>1</v>
      </c>
      <c r="X344" t="s">
        <v>2765</v>
      </c>
      <c r="Y344">
        <f t="shared" si="51"/>
        <v>0</v>
      </c>
      <c r="Z344">
        <f t="shared" si="52"/>
        <v>12231.36</v>
      </c>
      <c r="AA344">
        <f t="shared" si="53"/>
        <v>3464.4600000000009</v>
      </c>
      <c r="AB344" s="7">
        <f t="shared" si="54"/>
        <v>0.28324405462679547</v>
      </c>
      <c r="AC344" t="str">
        <f t="shared" si="55"/>
        <v>July</v>
      </c>
      <c r="AD344">
        <f t="shared" si="56"/>
        <v>2025</v>
      </c>
      <c r="AE344" t="str">
        <f t="shared" si="57"/>
        <v>Clean</v>
      </c>
      <c r="AF344" t="str">
        <f t="shared" si="58"/>
        <v>Match</v>
      </c>
      <c r="AG344" t="str">
        <f t="shared" si="59"/>
        <v>Match</v>
      </c>
    </row>
    <row r="345" spans="1:33">
      <c r="A345" t="s">
        <v>1131</v>
      </c>
      <c r="B345" s="3">
        <v>45933</v>
      </c>
      <c r="C345" s="3">
        <v>45938</v>
      </c>
      <c r="D345">
        <f t="shared" si="50"/>
        <v>5</v>
      </c>
      <c r="E345" t="s">
        <v>1132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1133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>
        <v>1</v>
      </c>
      <c r="X345" t="s">
        <v>2765</v>
      </c>
      <c r="Y345">
        <f t="shared" si="51"/>
        <v>0.1</v>
      </c>
      <c r="Z345">
        <f t="shared" si="52"/>
        <v>31079.7</v>
      </c>
      <c r="AA345">
        <f t="shared" si="53"/>
        <v>13321.45</v>
      </c>
      <c r="AB345" s="7">
        <f t="shared" si="54"/>
        <v>0.4286222196481948</v>
      </c>
      <c r="AC345" t="str">
        <f t="shared" si="55"/>
        <v>October</v>
      </c>
      <c r="AD345">
        <f t="shared" si="56"/>
        <v>2025</v>
      </c>
      <c r="AE345" t="str">
        <f t="shared" si="57"/>
        <v>Clean</v>
      </c>
      <c r="AF345" t="str">
        <f t="shared" si="58"/>
        <v>Match</v>
      </c>
      <c r="AG345" t="str">
        <f t="shared" si="59"/>
        <v>Match</v>
      </c>
    </row>
    <row r="346" spans="1:33">
      <c r="A346" t="s">
        <v>1134</v>
      </c>
      <c r="B346" s="3">
        <v>45362</v>
      </c>
      <c r="C346" s="3">
        <v>45362</v>
      </c>
      <c r="D346">
        <f t="shared" si="50"/>
        <v>0</v>
      </c>
      <c r="E346" t="s">
        <v>1135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1136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>
        <v>1</v>
      </c>
      <c r="X346" t="s">
        <v>2765</v>
      </c>
      <c r="Y346">
        <f t="shared" si="51"/>
        <v>0</v>
      </c>
      <c r="Z346">
        <f t="shared" si="52"/>
        <v>31107.420000000002</v>
      </c>
      <c r="AA346">
        <f t="shared" si="53"/>
        <v>10960.760000000002</v>
      </c>
      <c r="AB346" s="7">
        <f t="shared" si="54"/>
        <v>0.3523519468988428</v>
      </c>
      <c r="AC346" t="str">
        <f t="shared" si="55"/>
        <v>March</v>
      </c>
      <c r="AD346">
        <f t="shared" si="56"/>
        <v>2024</v>
      </c>
      <c r="AE346" t="str">
        <f t="shared" si="57"/>
        <v>Clean</v>
      </c>
      <c r="AF346" t="str">
        <f t="shared" si="58"/>
        <v>Match</v>
      </c>
      <c r="AG346" t="str">
        <f t="shared" si="59"/>
        <v>Match</v>
      </c>
    </row>
    <row r="347" spans="1:33">
      <c r="A347" t="s">
        <v>1137</v>
      </c>
      <c r="B347" s="3">
        <v>45549</v>
      </c>
      <c r="C347" s="3">
        <v>45557</v>
      </c>
      <c r="D347">
        <f t="shared" si="50"/>
        <v>8</v>
      </c>
      <c r="E347" t="s">
        <v>1138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1139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>
        <v>1</v>
      </c>
      <c r="X347" t="s">
        <v>2765</v>
      </c>
      <c r="Y347">
        <f t="shared" si="51"/>
        <v>0</v>
      </c>
      <c r="Z347">
        <f t="shared" si="52"/>
        <v>5530.6</v>
      </c>
      <c r="AA347">
        <f t="shared" si="53"/>
        <v>1077.4900000000007</v>
      </c>
      <c r="AB347" s="7">
        <f t="shared" si="54"/>
        <v>0.19482334647235391</v>
      </c>
      <c r="AC347" t="str">
        <f t="shared" si="55"/>
        <v>September</v>
      </c>
      <c r="AD347">
        <f t="shared" si="56"/>
        <v>2024</v>
      </c>
      <c r="AE347" t="str">
        <f t="shared" si="57"/>
        <v>Clean</v>
      </c>
      <c r="AF347" t="str">
        <f t="shared" si="58"/>
        <v>Match</v>
      </c>
      <c r="AG347" t="str">
        <f t="shared" si="59"/>
        <v>Match</v>
      </c>
    </row>
    <row r="348" spans="1:33">
      <c r="A348" t="s">
        <v>1140</v>
      </c>
      <c r="B348" s="3">
        <v>45860</v>
      </c>
      <c r="C348" s="3">
        <v>45866</v>
      </c>
      <c r="D348">
        <f t="shared" si="50"/>
        <v>6</v>
      </c>
      <c r="E348" t="s">
        <v>1141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1142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>
        <v>1</v>
      </c>
      <c r="X348" t="s">
        <v>2765</v>
      </c>
      <c r="Y348">
        <f t="shared" si="51"/>
        <v>0.2</v>
      </c>
      <c r="Z348">
        <f t="shared" si="52"/>
        <v>7715.8080000000009</v>
      </c>
      <c r="AA348">
        <f t="shared" si="53"/>
        <v>3457.3880000000008</v>
      </c>
      <c r="AB348" s="7">
        <f t="shared" si="54"/>
        <v>0.4480915025360922</v>
      </c>
      <c r="AC348" t="str">
        <f t="shared" si="55"/>
        <v>July</v>
      </c>
      <c r="AD348">
        <f t="shared" si="56"/>
        <v>2025</v>
      </c>
      <c r="AE348" t="str">
        <f t="shared" si="57"/>
        <v>Clean</v>
      </c>
      <c r="AF348" t="str">
        <f t="shared" si="58"/>
        <v>Match</v>
      </c>
      <c r="AG348" t="str">
        <f t="shared" si="59"/>
        <v>Match</v>
      </c>
    </row>
    <row r="349" spans="1:33">
      <c r="A349" t="s">
        <v>1143</v>
      </c>
      <c r="B349" s="3">
        <v>45627</v>
      </c>
      <c r="C349" s="3">
        <v>45634</v>
      </c>
      <c r="D349">
        <f t="shared" si="50"/>
        <v>7</v>
      </c>
      <c r="E349" t="s">
        <v>1144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1145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>
        <v>1</v>
      </c>
      <c r="X349" t="s">
        <v>2765</v>
      </c>
      <c r="Y349">
        <f t="shared" si="51"/>
        <v>0.2</v>
      </c>
      <c r="Z349">
        <f t="shared" si="52"/>
        <v>11925.96</v>
      </c>
      <c r="AA349">
        <f t="shared" si="53"/>
        <v>1822.4499999999989</v>
      </c>
      <c r="AB349" s="7">
        <f t="shared" si="54"/>
        <v>0.15281369382422874</v>
      </c>
      <c r="AC349" t="str">
        <f t="shared" si="55"/>
        <v>December</v>
      </c>
      <c r="AD349">
        <f t="shared" si="56"/>
        <v>2024</v>
      </c>
      <c r="AE349" t="str">
        <f t="shared" si="57"/>
        <v>Clean</v>
      </c>
      <c r="AF349" t="str">
        <f t="shared" si="58"/>
        <v>Match</v>
      </c>
      <c r="AG349" t="str">
        <f t="shared" si="59"/>
        <v>Match</v>
      </c>
    </row>
    <row r="350" spans="1:33">
      <c r="A350" t="s">
        <v>1146</v>
      </c>
      <c r="B350" s="3">
        <v>45445</v>
      </c>
      <c r="C350" s="3">
        <v>45450</v>
      </c>
      <c r="D350">
        <f t="shared" si="50"/>
        <v>5</v>
      </c>
      <c r="E350" t="s">
        <v>1147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1148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>
        <v>1</v>
      </c>
      <c r="X350" t="s">
        <v>2765</v>
      </c>
      <c r="Y350">
        <f t="shared" si="51"/>
        <v>0.25</v>
      </c>
      <c r="Z350">
        <f t="shared" si="52"/>
        <v>19306.755000000005</v>
      </c>
      <c r="AA350">
        <f t="shared" si="53"/>
        <v>4864.3750000000055</v>
      </c>
      <c r="AB350" s="7">
        <f t="shared" si="54"/>
        <v>0.25195197225012717</v>
      </c>
      <c r="AC350" t="str">
        <f t="shared" si="55"/>
        <v>June</v>
      </c>
      <c r="AD350">
        <f t="shared" si="56"/>
        <v>2024</v>
      </c>
      <c r="AE350" t="str">
        <f t="shared" si="57"/>
        <v>Clean</v>
      </c>
      <c r="AF350" t="str">
        <f t="shared" si="58"/>
        <v>Match</v>
      </c>
      <c r="AG350" t="str">
        <f t="shared" si="59"/>
        <v>Match</v>
      </c>
    </row>
    <row r="351" spans="1:33">
      <c r="A351" t="s">
        <v>1149</v>
      </c>
      <c r="B351" s="3">
        <v>45927</v>
      </c>
      <c r="C351" s="3">
        <v>45929</v>
      </c>
      <c r="D351">
        <f t="shared" si="50"/>
        <v>2</v>
      </c>
      <c r="E351" t="s">
        <v>1150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1151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>
        <v>1</v>
      </c>
      <c r="X351" t="s">
        <v>2765</v>
      </c>
      <c r="Y351">
        <f t="shared" si="51"/>
        <v>0.25</v>
      </c>
      <c r="Z351">
        <f t="shared" si="52"/>
        <v>19355.962500000001</v>
      </c>
      <c r="AA351">
        <f t="shared" si="53"/>
        <v>4343.5125000000007</v>
      </c>
      <c r="AB351" s="7">
        <f t="shared" si="54"/>
        <v>0.22440178317146461</v>
      </c>
      <c r="AC351" t="str">
        <f t="shared" si="55"/>
        <v>September</v>
      </c>
      <c r="AD351">
        <f t="shared" si="56"/>
        <v>2025</v>
      </c>
      <c r="AE351" t="str">
        <f t="shared" si="57"/>
        <v>Clean</v>
      </c>
      <c r="AF351" t="str">
        <f t="shared" si="58"/>
        <v>Match</v>
      </c>
      <c r="AG351" t="str">
        <f t="shared" si="59"/>
        <v>Mismatch</v>
      </c>
    </row>
    <row r="352" spans="1:33">
      <c r="A352" t="s">
        <v>1152</v>
      </c>
      <c r="B352" s="3">
        <v>45298</v>
      </c>
      <c r="C352" s="3">
        <v>45305</v>
      </c>
      <c r="D352">
        <f t="shared" si="50"/>
        <v>7</v>
      </c>
      <c r="E352" t="s">
        <v>1153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1154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>
        <v>1</v>
      </c>
      <c r="X352" t="s">
        <v>2765</v>
      </c>
      <c r="Y352">
        <f t="shared" si="51"/>
        <v>0.1</v>
      </c>
      <c r="Z352">
        <f t="shared" si="52"/>
        <v>11914.344000000001</v>
      </c>
      <c r="AA352">
        <f t="shared" si="53"/>
        <v>2143.1040000000012</v>
      </c>
      <c r="AB352" s="7">
        <f t="shared" si="54"/>
        <v>0.17987595456367561</v>
      </c>
      <c r="AC352" t="str">
        <f t="shared" si="55"/>
        <v>January</v>
      </c>
      <c r="AD352">
        <f t="shared" si="56"/>
        <v>2024</v>
      </c>
      <c r="AE352" t="str">
        <f t="shared" si="57"/>
        <v>Clean</v>
      </c>
      <c r="AF352" t="str">
        <f t="shared" si="58"/>
        <v>Match</v>
      </c>
      <c r="AG352" t="str">
        <f t="shared" si="59"/>
        <v>Match</v>
      </c>
    </row>
    <row r="353" spans="1:33">
      <c r="A353" t="s">
        <v>1155</v>
      </c>
      <c r="B353" s="3">
        <v>45800</v>
      </c>
      <c r="C353" s="3">
        <v>45804</v>
      </c>
      <c r="D353">
        <f t="shared" si="50"/>
        <v>4</v>
      </c>
      <c r="E353" t="s">
        <v>1156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1157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>
        <v>1</v>
      </c>
      <c r="X353" t="s">
        <v>2765</v>
      </c>
      <c r="Y353">
        <f t="shared" si="51"/>
        <v>0.25</v>
      </c>
      <c r="Z353">
        <f t="shared" si="52"/>
        <v>3237.4800000000005</v>
      </c>
      <c r="AA353">
        <f t="shared" si="53"/>
        <v>1119.1400000000003</v>
      </c>
      <c r="AB353" s="7">
        <f t="shared" si="54"/>
        <v>0.34568244437031276</v>
      </c>
      <c r="AC353" t="str">
        <f t="shared" si="55"/>
        <v>May</v>
      </c>
      <c r="AD353">
        <f t="shared" si="56"/>
        <v>2025</v>
      </c>
      <c r="AE353" t="str">
        <f t="shared" si="57"/>
        <v>Clean</v>
      </c>
      <c r="AF353" t="str">
        <f t="shared" si="58"/>
        <v>Match</v>
      </c>
      <c r="AG353" t="str">
        <f t="shared" si="59"/>
        <v>Match</v>
      </c>
    </row>
    <row r="354" spans="1:33">
      <c r="A354" t="s">
        <v>1158</v>
      </c>
      <c r="B354" s="3">
        <v>45884</v>
      </c>
      <c r="C354" s="3">
        <v>45886</v>
      </c>
      <c r="D354">
        <f t="shared" si="50"/>
        <v>2</v>
      </c>
      <c r="E354" t="s">
        <v>1159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1160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>
        <v>1</v>
      </c>
      <c r="X354" t="s">
        <v>2765</v>
      </c>
      <c r="Y354">
        <f t="shared" si="51"/>
        <v>0.25</v>
      </c>
      <c r="Z354">
        <f t="shared" si="52"/>
        <v>10734.75</v>
      </c>
      <c r="AA354">
        <f t="shared" si="53"/>
        <v>4259.0200000000004</v>
      </c>
      <c r="AB354" s="7">
        <f t="shared" si="54"/>
        <v>0.39675073942103917</v>
      </c>
      <c r="AC354" t="str">
        <f t="shared" si="55"/>
        <v>August</v>
      </c>
      <c r="AD354">
        <f t="shared" si="56"/>
        <v>2025</v>
      </c>
      <c r="AE354" t="str">
        <f t="shared" si="57"/>
        <v>Clean</v>
      </c>
      <c r="AF354" t="str">
        <f t="shared" si="58"/>
        <v>Match</v>
      </c>
      <c r="AG354" t="str">
        <f t="shared" si="59"/>
        <v>Match</v>
      </c>
    </row>
    <row r="355" spans="1:33">
      <c r="A355" t="s">
        <v>1161</v>
      </c>
      <c r="B355" s="3">
        <v>45709</v>
      </c>
      <c r="C355" s="3">
        <v>45715</v>
      </c>
      <c r="D355">
        <f t="shared" si="50"/>
        <v>6</v>
      </c>
      <c r="E355" t="s">
        <v>1162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1163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>
        <v>1</v>
      </c>
      <c r="X355" t="s">
        <v>2765</v>
      </c>
      <c r="Y355">
        <f t="shared" si="51"/>
        <v>0.2</v>
      </c>
      <c r="Z355">
        <f t="shared" si="52"/>
        <v>10308.024000000001</v>
      </c>
      <c r="AA355">
        <f t="shared" si="53"/>
        <v>4485.7140000000009</v>
      </c>
      <c r="AB355" s="7">
        <f t="shared" si="54"/>
        <v>0.4351672056642476</v>
      </c>
      <c r="AC355" t="str">
        <f t="shared" si="55"/>
        <v>February</v>
      </c>
      <c r="AD355">
        <f t="shared" si="56"/>
        <v>2025</v>
      </c>
      <c r="AE355" t="str">
        <f t="shared" si="57"/>
        <v>Clean</v>
      </c>
      <c r="AF355" t="str">
        <f t="shared" si="58"/>
        <v>Match</v>
      </c>
      <c r="AG355" t="str">
        <f t="shared" si="59"/>
        <v>Match</v>
      </c>
    </row>
    <row r="356" spans="1:33">
      <c r="A356" t="s">
        <v>1164</v>
      </c>
      <c r="B356" s="3">
        <v>45653</v>
      </c>
      <c r="C356" s="3">
        <v>45657</v>
      </c>
      <c r="D356">
        <f t="shared" si="50"/>
        <v>4</v>
      </c>
      <c r="E356" t="s">
        <v>1165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1166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>
        <v>1</v>
      </c>
      <c r="X356" t="s">
        <v>2765</v>
      </c>
      <c r="Y356">
        <f t="shared" si="51"/>
        <v>-0.06</v>
      </c>
      <c r="Z356">
        <f t="shared" si="52"/>
        <v>21285.520800000002</v>
      </c>
      <c r="AA356">
        <f t="shared" si="53"/>
        <v>8376.6808000000019</v>
      </c>
      <c r="AB356" s="7">
        <f t="shared" si="54"/>
        <v>0.39353891683965753</v>
      </c>
      <c r="AC356" t="str">
        <f t="shared" si="55"/>
        <v>December</v>
      </c>
      <c r="AD356">
        <f t="shared" si="56"/>
        <v>2024</v>
      </c>
      <c r="AE356" t="str">
        <f t="shared" si="57"/>
        <v>Invalid</v>
      </c>
      <c r="AF356" t="str">
        <f t="shared" si="58"/>
        <v>Mismatch</v>
      </c>
      <c r="AG356" t="str">
        <f t="shared" si="59"/>
        <v>Mismatch</v>
      </c>
    </row>
    <row r="357" spans="1:33">
      <c r="A357" t="s">
        <v>1167</v>
      </c>
      <c r="B357" s="3">
        <v>45424</v>
      </c>
      <c r="C357" s="3">
        <v>45421</v>
      </c>
      <c r="D357">
        <f t="shared" si="50"/>
        <v>-3</v>
      </c>
      <c r="E357" t="s">
        <v>1168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1169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>
        <v>1</v>
      </c>
      <c r="X357" t="s">
        <v>2765</v>
      </c>
      <c r="Y357">
        <f t="shared" si="51"/>
        <v>0</v>
      </c>
      <c r="Z357">
        <f t="shared" si="52"/>
        <v>16017.4</v>
      </c>
      <c r="AA357">
        <f t="shared" si="53"/>
        <v>6459.6</v>
      </c>
      <c r="AB357" s="7">
        <f t="shared" si="54"/>
        <v>0.40328642601171227</v>
      </c>
      <c r="AC357" t="str">
        <f t="shared" si="55"/>
        <v>May</v>
      </c>
      <c r="AD357">
        <f t="shared" si="56"/>
        <v>2024</v>
      </c>
      <c r="AE357" t="str">
        <f t="shared" si="57"/>
        <v>Invalid</v>
      </c>
      <c r="AF357" t="str">
        <f t="shared" si="58"/>
        <v>Match</v>
      </c>
      <c r="AG357" t="str">
        <f t="shared" si="59"/>
        <v>Match</v>
      </c>
    </row>
    <row r="358" spans="1:33">
      <c r="A358" t="s">
        <v>1170</v>
      </c>
      <c r="B358" s="3">
        <v>45835</v>
      </c>
      <c r="C358" s="3">
        <v>45837</v>
      </c>
      <c r="D358">
        <f t="shared" si="50"/>
        <v>2</v>
      </c>
      <c r="E358" t="s">
        <v>1171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1172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>
        <v>1</v>
      </c>
      <c r="X358" t="s">
        <v>2765</v>
      </c>
      <c r="Y358">
        <f t="shared" si="51"/>
        <v>0.2</v>
      </c>
      <c r="Z358">
        <f t="shared" si="52"/>
        <v>2486.8000000000002</v>
      </c>
      <c r="AA358">
        <f t="shared" si="53"/>
        <v>355.07000000000016</v>
      </c>
      <c r="AB358" s="7">
        <f t="shared" si="54"/>
        <v>0.1427818883705968</v>
      </c>
      <c r="AC358" t="str">
        <f t="shared" si="55"/>
        <v>June</v>
      </c>
      <c r="AD358">
        <f t="shared" si="56"/>
        <v>2025</v>
      </c>
      <c r="AE358" t="str">
        <f t="shared" si="57"/>
        <v>Clean</v>
      </c>
      <c r="AF358" t="str">
        <f t="shared" si="58"/>
        <v>Match</v>
      </c>
      <c r="AG358" t="str">
        <f t="shared" si="59"/>
        <v>Match</v>
      </c>
    </row>
    <row r="359" spans="1:33">
      <c r="A359" t="s">
        <v>1173</v>
      </c>
      <c r="B359" s="3">
        <v>45678</v>
      </c>
      <c r="C359" s="3">
        <v>45686</v>
      </c>
      <c r="D359">
        <f t="shared" si="50"/>
        <v>8</v>
      </c>
      <c r="E359" t="s">
        <v>1174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1175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>
        <v>1</v>
      </c>
      <c r="X359" t="s">
        <v>2765</v>
      </c>
      <c r="Y359">
        <f t="shared" si="51"/>
        <v>0</v>
      </c>
      <c r="Z359">
        <f t="shared" si="52"/>
        <v>4369.04</v>
      </c>
      <c r="AA359">
        <f t="shared" si="53"/>
        <v>652.15999999999985</v>
      </c>
      <c r="AB359" s="7">
        <f t="shared" si="54"/>
        <v>0.14926848918755603</v>
      </c>
      <c r="AC359" t="str">
        <f t="shared" si="55"/>
        <v>January</v>
      </c>
      <c r="AD359">
        <f t="shared" si="56"/>
        <v>2025</v>
      </c>
      <c r="AE359" t="str">
        <f t="shared" si="57"/>
        <v>Clean</v>
      </c>
      <c r="AF359" t="str">
        <f t="shared" si="58"/>
        <v>Match</v>
      </c>
      <c r="AG359" t="str">
        <f t="shared" si="59"/>
        <v>Match</v>
      </c>
    </row>
    <row r="360" spans="1:33">
      <c r="A360" t="s">
        <v>1176</v>
      </c>
      <c r="B360" s="3">
        <v>45878</v>
      </c>
      <c r="C360" s="3">
        <v>45876</v>
      </c>
      <c r="D360">
        <f t="shared" si="50"/>
        <v>-2</v>
      </c>
      <c r="E360" t="s">
        <v>1177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1178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>
        <v>1</v>
      </c>
      <c r="X360" t="s">
        <v>2765</v>
      </c>
      <c r="Y360">
        <f t="shared" si="51"/>
        <v>0.05</v>
      </c>
      <c r="Z360">
        <f t="shared" si="52"/>
        <v>5956.12</v>
      </c>
      <c r="AA360">
        <f t="shared" si="53"/>
        <v>1576.9399999999996</v>
      </c>
      <c r="AB360" s="7">
        <f t="shared" si="54"/>
        <v>0.26475960860425907</v>
      </c>
      <c r="AC360" t="str">
        <f t="shared" si="55"/>
        <v>August</v>
      </c>
      <c r="AD360">
        <f t="shared" si="56"/>
        <v>2025</v>
      </c>
      <c r="AE360" t="str">
        <f t="shared" si="57"/>
        <v>Invalid</v>
      </c>
      <c r="AF360" t="str">
        <f t="shared" si="58"/>
        <v>Match</v>
      </c>
      <c r="AG360" t="str">
        <f t="shared" si="59"/>
        <v>Match</v>
      </c>
    </row>
    <row r="361" spans="1:33">
      <c r="A361" t="s">
        <v>1179</v>
      </c>
      <c r="B361" s="3">
        <v>45525</v>
      </c>
      <c r="C361" s="3">
        <v>45526</v>
      </c>
      <c r="D361">
        <f t="shared" si="50"/>
        <v>1</v>
      </c>
      <c r="E361" t="s">
        <v>1180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1181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>
        <v>1</v>
      </c>
      <c r="X361" t="s">
        <v>2765</v>
      </c>
      <c r="Y361">
        <f t="shared" si="51"/>
        <v>0.1</v>
      </c>
      <c r="Z361">
        <f t="shared" si="52"/>
        <v>4997.3760000000002</v>
      </c>
      <c r="AA361">
        <f t="shared" si="53"/>
        <v>2025.9860000000003</v>
      </c>
      <c r="AB361" s="7">
        <f t="shared" si="54"/>
        <v>0.40540995914656014</v>
      </c>
      <c r="AC361" t="str">
        <f t="shared" si="55"/>
        <v>August</v>
      </c>
      <c r="AD361">
        <f t="shared" si="56"/>
        <v>2024</v>
      </c>
      <c r="AE361" t="str">
        <f t="shared" si="57"/>
        <v>Clean</v>
      </c>
      <c r="AF361" t="str">
        <f t="shared" si="58"/>
        <v>Match</v>
      </c>
      <c r="AG361" t="str">
        <f t="shared" si="59"/>
        <v>Match</v>
      </c>
    </row>
    <row r="362" spans="1:33">
      <c r="A362" t="s">
        <v>1182</v>
      </c>
      <c r="B362" s="3">
        <v>45460</v>
      </c>
      <c r="C362" s="3">
        <v>45463</v>
      </c>
      <c r="D362">
        <f t="shared" si="50"/>
        <v>3</v>
      </c>
      <c r="E362" t="s">
        <v>1183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1184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>
        <v>1</v>
      </c>
      <c r="X362" t="s">
        <v>2765</v>
      </c>
      <c r="Y362">
        <f t="shared" si="51"/>
        <v>0.2</v>
      </c>
      <c r="Z362">
        <f t="shared" si="52"/>
        <v>17669.400000000001</v>
      </c>
      <c r="AA362">
        <f t="shared" si="53"/>
        <v>3950.630000000001</v>
      </c>
      <c r="AB362" s="7">
        <f t="shared" si="54"/>
        <v>0.2235859734908939</v>
      </c>
      <c r="AC362" t="str">
        <f t="shared" si="55"/>
        <v>June</v>
      </c>
      <c r="AD362">
        <f t="shared" si="56"/>
        <v>2024</v>
      </c>
      <c r="AE362" t="str">
        <f t="shared" si="57"/>
        <v>Clean</v>
      </c>
      <c r="AF362" t="str">
        <f t="shared" si="58"/>
        <v>Match</v>
      </c>
      <c r="AG362" t="str">
        <f t="shared" si="59"/>
        <v>Match</v>
      </c>
    </row>
    <row r="363" spans="1:33">
      <c r="A363" t="s">
        <v>1185</v>
      </c>
      <c r="B363" s="3">
        <v>45748</v>
      </c>
      <c r="C363" s="3">
        <v>45749</v>
      </c>
      <c r="D363">
        <f t="shared" si="50"/>
        <v>1</v>
      </c>
      <c r="E363" t="s">
        <v>1186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1187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>
        <v>1</v>
      </c>
      <c r="X363" t="s">
        <v>2765</v>
      </c>
      <c r="Y363">
        <f t="shared" si="51"/>
        <v>0.05</v>
      </c>
      <c r="Z363">
        <f t="shared" si="52"/>
        <v>35615.709000000003</v>
      </c>
      <c r="AA363">
        <f t="shared" si="53"/>
        <v>15225.999000000003</v>
      </c>
      <c r="AB363" s="7">
        <f t="shared" si="54"/>
        <v>0.42750795723314122</v>
      </c>
      <c r="AC363" t="str">
        <f t="shared" si="55"/>
        <v>April</v>
      </c>
      <c r="AD363">
        <f t="shared" si="56"/>
        <v>2025</v>
      </c>
      <c r="AE363" t="str">
        <f t="shared" si="57"/>
        <v>Clean</v>
      </c>
      <c r="AF363" t="str">
        <f t="shared" si="58"/>
        <v>Match</v>
      </c>
      <c r="AG363" t="str">
        <f t="shared" si="59"/>
        <v>Match</v>
      </c>
    </row>
    <row r="364" spans="1:33">
      <c r="A364" t="s">
        <v>1188</v>
      </c>
      <c r="B364" s="3">
        <v>45527</v>
      </c>
      <c r="C364" s="3">
        <v>45529</v>
      </c>
      <c r="D364">
        <f t="shared" si="50"/>
        <v>2</v>
      </c>
      <c r="E364" t="s">
        <v>1189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1190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>
        <v>1</v>
      </c>
      <c r="X364" t="s">
        <v>2765</v>
      </c>
      <c r="Y364">
        <f t="shared" si="51"/>
        <v>0.05</v>
      </c>
      <c r="Z364">
        <f t="shared" si="52"/>
        <v>1866.4079999999999</v>
      </c>
      <c r="AA364">
        <f t="shared" si="53"/>
        <v>289.91799999999989</v>
      </c>
      <c r="AB364" s="7">
        <f t="shared" si="54"/>
        <v>0.15533473924243782</v>
      </c>
      <c r="AC364" t="str">
        <f t="shared" si="55"/>
        <v>August</v>
      </c>
      <c r="AD364">
        <f t="shared" si="56"/>
        <v>2024</v>
      </c>
      <c r="AE364" t="str">
        <f t="shared" si="57"/>
        <v>Clean</v>
      </c>
      <c r="AF364" t="str">
        <f t="shared" si="58"/>
        <v>Match</v>
      </c>
      <c r="AG364" t="str">
        <f t="shared" si="59"/>
        <v>Match</v>
      </c>
    </row>
    <row r="365" spans="1:33">
      <c r="A365" t="s">
        <v>1191</v>
      </c>
      <c r="B365" s="3">
        <v>45845</v>
      </c>
      <c r="C365" s="3">
        <v>45850</v>
      </c>
      <c r="D365">
        <f t="shared" si="50"/>
        <v>5</v>
      </c>
      <c r="E365" t="s">
        <v>1192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1193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>
        <v>1</v>
      </c>
      <c r="X365" t="s">
        <v>2765</v>
      </c>
      <c r="Y365">
        <f t="shared" si="51"/>
        <v>0.25</v>
      </c>
      <c r="Z365">
        <f t="shared" si="52"/>
        <v>6867.6374999999989</v>
      </c>
      <c r="AA365">
        <f t="shared" si="53"/>
        <v>1662.2774999999992</v>
      </c>
      <c r="AB365" s="7">
        <f t="shared" si="54"/>
        <v>0.24204502640100028</v>
      </c>
      <c r="AC365" t="str">
        <f t="shared" si="55"/>
        <v>July</v>
      </c>
      <c r="AD365">
        <f t="shared" si="56"/>
        <v>2025</v>
      </c>
      <c r="AE365" t="str">
        <f t="shared" si="57"/>
        <v>Clean</v>
      </c>
      <c r="AF365" t="str">
        <f t="shared" si="58"/>
        <v>Match</v>
      </c>
      <c r="AG365" t="str">
        <f t="shared" si="59"/>
        <v>Match</v>
      </c>
    </row>
    <row r="366" spans="1:33">
      <c r="A366" t="s">
        <v>1194</v>
      </c>
      <c r="B366" s="3">
        <v>45737</v>
      </c>
      <c r="C366" s="3">
        <v>45740</v>
      </c>
      <c r="D366">
        <f t="shared" si="50"/>
        <v>3</v>
      </c>
      <c r="E366" t="s">
        <v>1195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1196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>
        <v>1</v>
      </c>
      <c r="X366" t="s">
        <v>2765</v>
      </c>
      <c r="Y366">
        <f t="shared" si="51"/>
        <v>0</v>
      </c>
      <c r="Z366">
        <f t="shared" si="52"/>
        <v>6195.75</v>
      </c>
      <c r="AA366">
        <f t="shared" si="53"/>
        <v>2228.73</v>
      </c>
      <c r="AB366" s="7">
        <f t="shared" si="54"/>
        <v>0.35971916232901585</v>
      </c>
      <c r="AC366" t="str">
        <f t="shared" si="55"/>
        <v>March</v>
      </c>
      <c r="AD366">
        <f t="shared" si="56"/>
        <v>2025</v>
      </c>
      <c r="AE366" t="str">
        <f t="shared" si="57"/>
        <v>Clean</v>
      </c>
      <c r="AF366" t="str">
        <f t="shared" si="58"/>
        <v>Match</v>
      </c>
      <c r="AG366" t="str">
        <f t="shared" si="59"/>
        <v>Match</v>
      </c>
    </row>
    <row r="367" spans="1:33">
      <c r="A367" t="s">
        <v>1197</v>
      </c>
      <c r="B367" s="3">
        <v>45458</v>
      </c>
      <c r="C367" s="3">
        <v>45464</v>
      </c>
      <c r="D367">
        <f t="shared" si="50"/>
        <v>6</v>
      </c>
      <c r="E367" t="s">
        <v>1198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1199</v>
      </c>
      <c r="N367" t="s">
        <v>50</v>
      </c>
      <c r="O367">
        <v>8</v>
      </c>
      <c r="P367">
        <v>1706.4</v>
      </c>
      <c r="Q367"/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>
        <v>1</v>
      </c>
      <c r="X367" t="s">
        <v>2765</v>
      </c>
      <c r="Y367">
        <f t="shared" si="51"/>
        <v>0</v>
      </c>
      <c r="Z367">
        <f t="shared" si="52"/>
        <v>13651.2</v>
      </c>
      <c r="AA367">
        <f t="shared" si="53"/>
        <v>3531.59</v>
      </c>
      <c r="AB367" s="7">
        <f t="shared" si="54"/>
        <v>0.2587017991092358</v>
      </c>
      <c r="AC367" t="str">
        <f t="shared" si="55"/>
        <v>June</v>
      </c>
      <c r="AD367">
        <f t="shared" si="56"/>
        <v>2024</v>
      </c>
      <c r="AE367" t="str">
        <f t="shared" si="57"/>
        <v>Clean</v>
      </c>
      <c r="AF367" t="str">
        <f t="shared" si="58"/>
        <v>Mismatch</v>
      </c>
      <c r="AG367" t="str">
        <f t="shared" si="59"/>
        <v>Mismatch</v>
      </c>
    </row>
    <row r="368" spans="1:33">
      <c r="A368" t="s">
        <v>1200</v>
      </c>
      <c r="B368" s="3">
        <v>45673</v>
      </c>
      <c r="C368" s="3">
        <v>45679</v>
      </c>
      <c r="D368">
        <f t="shared" si="50"/>
        <v>6</v>
      </c>
      <c r="E368" t="s">
        <v>1201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1202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>
        <v>1</v>
      </c>
      <c r="X368" t="s">
        <v>2765</v>
      </c>
      <c r="Y368">
        <f t="shared" si="51"/>
        <v>0</v>
      </c>
      <c r="Z368">
        <f t="shared" si="52"/>
        <v>8836.56</v>
      </c>
      <c r="AA368">
        <f t="shared" si="53"/>
        <v>2968.8099999999995</v>
      </c>
      <c r="AB368" s="7">
        <f t="shared" si="54"/>
        <v>0.33596897435201023</v>
      </c>
      <c r="AC368" t="str">
        <f t="shared" si="55"/>
        <v>January</v>
      </c>
      <c r="AD368">
        <f t="shared" si="56"/>
        <v>2025</v>
      </c>
      <c r="AE368" t="str">
        <f t="shared" si="57"/>
        <v>Clean</v>
      </c>
      <c r="AF368" t="str">
        <f t="shared" si="58"/>
        <v>Match</v>
      </c>
      <c r="AG368" t="str">
        <f t="shared" si="59"/>
        <v>Match</v>
      </c>
    </row>
    <row r="369" spans="1:33">
      <c r="A369" t="s">
        <v>1203</v>
      </c>
      <c r="B369" s="3">
        <v>45366</v>
      </c>
      <c r="C369" s="3">
        <v>45367</v>
      </c>
      <c r="D369">
        <f t="shared" si="50"/>
        <v>1</v>
      </c>
      <c r="E369" t="s">
        <v>1204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1205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>
        <v>1</v>
      </c>
      <c r="X369" t="s">
        <v>2765</v>
      </c>
      <c r="Y369">
        <f t="shared" si="51"/>
        <v>0.15</v>
      </c>
      <c r="Z369">
        <f t="shared" si="52"/>
        <v>19456.958999999999</v>
      </c>
      <c r="AA369">
        <f t="shared" si="53"/>
        <v>4936.8989999999994</v>
      </c>
      <c r="AB369" s="7">
        <f t="shared" si="54"/>
        <v>0.25373435797443988</v>
      </c>
      <c r="AC369" t="str">
        <f t="shared" si="55"/>
        <v>March</v>
      </c>
      <c r="AD369">
        <f t="shared" si="56"/>
        <v>2024</v>
      </c>
      <c r="AE369" t="str">
        <f t="shared" si="57"/>
        <v>Clean</v>
      </c>
      <c r="AF369" t="str">
        <f t="shared" si="58"/>
        <v>Match</v>
      </c>
      <c r="AG369" t="str">
        <f t="shared" si="59"/>
        <v>Match</v>
      </c>
    </row>
    <row r="370" spans="1:33">
      <c r="A370" t="s">
        <v>1206</v>
      </c>
      <c r="B370" s="3">
        <v>45844</v>
      </c>
      <c r="C370" s="3">
        <v>45844</v>
      </c>
      <c r="D370">
        <f t="shared" si="50"/>
        <v>0</v>
      </c>
      <c r="E370" t="s">
        <v>1207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1208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>
        <v>1</v>
      </c>
      <c r="X370" t="s">
        <v>2765</v>
      </c>
      <c r="Y370">
        <f t="shared" si="51"/>
        <v>0.05</v>
      </c>
      <c r="Z370">
        <f t="shared" si="52"/>
        <v>2079.2745</v>
      </c>
      <c r="AA370">
        <f t="shared" si="53"/>
        <v>567.10449999999992</v>
      </c>
      <c r="AB370" s="7">
        <f t="shared" si="54"/>
        <v>0.27274152595051782</v>
      </c>
      <c r="AC370" t="str">
        <f t="shared" si="55"/>
        <v>July</v>
      </c>
      <c r="AD370">
        <f t="shared" si="56"/>
        <v>2025</v>
      </c>
      <c r="AE370" t="str">
        <f t="shared" si="57"/>
        <v>Clean</v>
      </c>
      <c r="AF370" t="str">
        <f t="shared" si="58"/>
        <v>Match</v>
      </c>
      <c r="AG370" t="str">
        <f t="shared" si="59"/>
        <v>Match</v>
      </c>
    </row>
    <row r="371" spans="1:33">
      <c r="A371" t="s">
        <v>1209</v>
      </c>
      <c r="B371" s="3">
        <v>45680</v>
      </c>
      <c r="C371" s="3">
        <v>45687</v>
      </c>
      <c r="D371">
        <f t="shared" si="50"/>
        <v>7</v>
      </c>
      <c r="E371" t="s">
        <v>1210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1211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>
        <v>1</v>
      </c>
      <c r="X371" t="s">
        <v>2765</v>
      </c>
      <c r="Y371">
        <f t="shared" si="51"/>
        <v>0.15</v>
      </c>
      <c r="Z371">
        <f t="shared" si="52"/>
        <v>8945.6804999999986</v>
      </c>
      <c r="AA371">
        <f t="shared" si="53"/>
        <v>2205.3304999999982</v>
      </c>
      <c r="AB371" s="7">
        <f t="shared" si="54"/>
        <v>0.24652462157574245</v>
      </c>
      <c r="AC371" t="str">
        <f t="shared" si="55"/>
        <v>January</v>
      </c>
      <c r="AD371">
        <f t="shared" si="56"/>
        <v>2025</v>
      </c>
      <c r="AE371" t="str">
        <f t="shared" si="57"/>
        <v>Clean</v>
      </c>
      <c r="AF371" t="str">
        <f t="shared" si="58"/>
        <v>Match</v>
      </c>
      <c r="AG371" t="str">
        <f t="shared" si="59"/>
        <v>Match</v>
      </c>
    </row>
    <row r="372" spans="1:33">
      <c r="A372" t="s">
        <v>1212</v>
      </c>
      <c r="B372" s="3">
        <v>45519</v>
      </c>
      <c r="C372" s="3">
        <v>45525</v>
      </c>
      <c r="D372">
        <f t="shared" si="50"/>
        <v>6</v>
      </c>
      <c r="E372" t="s">
        <v>1213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1214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>
        <v>1</v>
      </c>
      <c r="X372" t="s">
        <v>2765</v>
      </c>
      <c r="Y372">
        <f t="shared" si="51"/>
        <v>0.2</v>
      </c>
      <c r="Z372">
        <f t="shared" si="52"/>
        <v>13069.336000000001</v>
      </c>
      <c r="AA372">
        <f t="shared" si="53"/>
        <v>4300.746000000001</v>
      </c>
      <c r="AB372" s="7">
        <f t="shared" si="54"/>
        <v>0.32907149988339124</v>
      </c>
      <c r="AC372" t="str">
        <f t="shared" si="55"/>
        <v>August</v>
      </c>
      <c r="AD372">
        <f t="shared" si="56"/>
        <v>2024</v>
      </c>
      <c r="AE372" t="str">
        <f t="shared" si="57"/>
        <v>Clean</v>
      </c>
      <c r="AF372" t="str">
        <f t="shared" si="58"/>
        <v>Match</v>
      </c>
      <c r="AG372" t="str">
        <f t="shared" si="59"/>
        <v>Match</v>
      </c>
    </row>
    <row r="373" spans="1:33">
      <c r="A373" t="s">
        <v>1215</v>
      </c>
      <c r="B373" s="3">
        <v>45313</v>
      </c>
      <c r="C373" s="3">
        <v>45315</v>
      </c>
      <c r="D373">
        <f t="shared" si="50"/>
        <v>2</v>
      </c>
      <c r="E373" t="s">
        <v>1216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1217</v>
      </c>
      <c r="N373" t="s">
        <v>59</v>
      </c>
      <c r="O373">
        <v>6</v>
      </c>
      <c r="P373">
        <v>1026.06</v>
      </c>
      <c r="Q373"/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>
        <v>1</v>
      </c>
      <c r="X373" t="s">
        <v>2765</v>
      </c>
      <c r="Y373">
        <f t="shared" si="51"/>
        <v>0</v>
      </c>
      <c r="Z373">
        <f t="shared" si="52"/>
        <v>6156.36</v>
      </c>
      <c r="AA373">
        <f t="shared" si="53"/>
        <v>3174.4199999999996</v>
      </c>
      <c r="AB373" s="7">
        <f t="shared" si="54"/>
        <v>0.51563261407714944</v>
      </c>
      <c r="AC373" t="str">
        <f t="shared" si="55"/>
        <v>January</v>
      </c>
      <c r="AD373">
        <f t="shared" si="56"/>
        <v>2024</v>
      </c>
      <c r="AE373" t="str">
        <f t="shared" si="57"/>
        <v>Clean</v>
      </c>
      <c r="AF373" t="str">
        <f t="shared" si="58"/>
        <v>Mismatch</v>
      </c>
      <c r="AG373" t="str">
        <f t="shared" si="59"/>
        <v>Mismatch</v>
      </c>
    </row>
    <row r="374" spans="1:33">
      <c r="A374" t="s">
        <v>1218</v>
      </c>
      <c r="B374" s="3">
        <v>45885</v>
      </c>
      <c r="C374" s="3">
        <v>45887</v>
      </c>
      <c r="D374">
        <f t="shared" si="50"/>
        <v>2</v>
      </c>
      <c r="E374" t="s">
        <v>640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1219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>
        <v>1</v>
      </c>
      <c r="X374" t="s">
        <v>2765</v>
      </c>
      <c r="Y374">
        <f t="shared" si="51"/>
        <v>0</v>
      </c>
      <c r="Z374">
        <f t="shared" si="52"/>
        <v>7651.7999999999993</v>
      </c>
      <c r="AA374">
        <f t="shared" si="53"/>
        <v>2480.0199999999995</v>
      </c>
      <c r="AB374" s="7">
        <f t="shared" si="54"/>
        <v>0.32410935988917638</v>
      </c>
      <c r="AC374" t="str">
        <f t="shared" si="55"/>
        <v>August</v>
      </c>
      <c r="AD374">
        <f t="shared" si="56"/>
        <v>2025</v>
      </c>
      <c r="AE374" t="str">
        <f t="shared" si="57"/>
        <v>Clean</v>
      </c>
      <c r="AF374" t="str">
        <f t="shared" si="58"/>
        <v>Match</v>
      </c>
      <c r="AG374" t="str">
        <f t="shared" si="59"/>
        <v>Match</v>
      </c>
    </row>
    <row r="375" spans="1:33">
      <c r="A375" t="s">
        <v>1220</v>
      </c>
      <c r="B375" s="3">
        <v>45760</v>
      </c>
      <c r="C375" s="3">
        <v>45760</v>
      </c>
      <c r="D375">
        <f t="shared" si="50"/>
        <v>0</v>
      </c>
      <c r="E375" t="s">
        <v>1221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1222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>
        <v>2</v>
      </c>
      <c r="X375" t="s">
        <v>2764</v>
      </c>
      <c r="Y375">
        <f t="shared" si="51"/>
        <v>0</v>
      </c>
      <c r="Z375">
        <f t="shared" si="52"/>
        <v>10068.120000000001</v>
      </c>
      <c r="AA375">
        <f t="shared" si="53"/>
        <v>1472.75</v>
      </c>
      <c r="AB375" s="7">
        <f t="shared" si="54"/>
        <v>0.14627855051389932</v>
      </c>
      <c r="AC375" t="str">
        <f t="shared" si="55"/>
        <v>April</v>
      </c>
      <c r="AD375">
        <f t="shared" si="56"/>
        <v>2025</v>
      </c>
      <c r="AE375" t="str">
        <f t="shared" si="57"/>
        <v>Warning</v>
      </c>
      <c r="AF375" t="str">
        <f t="shared" si="58"/>
        <v>Match</v>
      </c>
      <c r="AG375" t="str">
        <f t="shared" si="59"/>
        <v>Match</v>
      </c>
    </row>
    <row r="376" spans="1:33">
      <c r="A376" t="s">
        <v>1223</v>
      </c>
      <c r="B376" s="3">
        <v>45715</v>
      </c>
      <c r="C376" s="3">
        <v>45716</v>
      </c>
      <c r="D376">
        <f t="shared" si="50"/>
        <v>1</v>
      </c>
      <c r="E376" t="s">
        <v>1224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1225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>
        <v>1</v>
      </c>
      <c r="X376" t="s">
        <v>2765</v>
      </c>
      <c r="Y376">
        <f t="shared" si="51"/>
        <v>0</v>
      </c>
      <c r="Z376">
        <f t="shared" si="52"/>
        <v>14359.5</v>
      </c>
      <c r="AA376">
        <f t="shared" si="53"/>
        <v>6241.79</v>
      </c>
      <c r="AB376" s="7">
        <f t="shared" si="54"/>
        <v>0.43468017688638183</v>
      </c>
      <c r="AC376" t="str">
        <f t="shared" si="55"/>
        <v>February</v>
      </c>
      <c r="AD376">
        <f t="shared" si="56"/>
        <v>2025</v>
      </c>
      <c r="AE376" t="str">
        <f t="shared" si="57"/>
        <v>Clean</v>
      </c>
      <c r="AF376" t="str">
        <f t="shared" si="58"/>
        <v>Match</v>
      </c>
      <c r="AG376" t="str">
        <f t="shared" si="59"/>
        <v>Match</v>
      </c>
    </row>
    <row r="377" spans="1:33">
      <c r="A377" t="s">
        <v>1226</v>
      </c>
      <c r="B377" s="3">
        <v>45657</v>
      </c>
      <c r="C377" s="3">
        <v>45661</v>
      </c>
      <c r="D377">
        <f t="shared" si="50"/>
        <v>4</v>
      </c>
      <c r="E377" t="s">
        <v>1227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1228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>
        <v>1</v>
      </c>
      <c r="X377" t="s">
        <v>2765</v>
      </c>
      <c r="Y377">
        <f t="shared" si="51"/>
        <v>0.25</v>
      </c>
      <c r="Z377">
        <f t="shared" si="52"/>
        <v>2624.8724999999999</v>
      </c>
      <c r="AA377">
        <f t="shared" si="53"/>
        <v>370.99249999999984</v>
      </c>
      <c r="AB377" s="7">
        <f t="shared" si="54"/>
        <v>0.14133734114704613</v>
      </c>
      <c r="AC377" t="str">
        <f t="shared" si="55"/>
        <v>December</v>
      </c>
      <c r="AD377">
        <f t="shared" si="56"/>
        <v>2024</v>
      </c>
      <c r="AE377" t="str">
        <f t="shared" si="57"/>
        <v>Clean</v>
      </c>
      <c r="AF377" t="str">
        <f t="shared" si="58"/>
        <v>Match</v>
      </c>
      <c r="AG377" t="str">
        <f t="shared" si="59"/>
        <v>Match</v>
      </c>
    </row>
    <row r="378" spans="1:33">
      <c r="A378" t="s">
        <v>1229</v>
      </c>
      <c r="B378" s="3">
        <v>45655</v>
      </c>
      <c r="C378" s="3">
        <v>45657</v>
      </c>
      <c r="D378">
        <f t="shared" si="50"/>
        <v>2</v>
      </c>
      <c r="E378" t="s">
        <v>1230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1231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>
        <v>1</v>
      </c>
      <c r="X378" t="s">
        <v>2765</v>
      </c>
      <c r="Y378">
        <f t="shared" si="51"/>
        <v>0.2</v>
      </c>
      <c r="Z378">
        <f t="shared" si="52"/>
        <v>8854.9440000000013</v>
      </c>
      <c r="AA378">
        <f t="shared" si="53"/>
        <v>1420.9940000000015</v>
      </c>
      <c r="AB378" s="7">
        <f t="shared" si="54"/>
        <v>0.1604746455765278</v>
      </c>
      <c r="AC378" t="str">
        <f t="shared" si="55"/>
        <v>December</v>
      </c>
      <c r="AD378">
        <f t="shared" si="56"/>
        <v>2024</v>
      </c>
      <c r="AE378" t="str">
        <f t="shared" si="57"/>
        <v>Clean</v>
      </c>
      <c r="AF378" t="str">
        <f t="shared" si="58"/>
        <v>Match</v>
      </c>
      <c r="AG378" t="str">
        <f t="shared" si="59"/>
        <v>Match</v>
      </c>
    </row>
    <row r="379" spans="1:33">
      <c r="A379" t="s">
        <v>1232</v>
      </c>
      <c r="B379" s="3">
        <v>45801</v>
      </c>
      <c r="C379" s="3">
        <v>45807</v>
      </c>
      <c r="D379">
        <f t="shared" si="50"/>
        <v>6</v>
      </c>
      <c r="E379" t="s">
        <v>1233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1234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>
        <v>1</v>
      </c>
      <c r="X379" t="s">
        <v>2765</v>
      </c>
      <c r="Y379">
        <f t="shared" si="51"/>
        <v>0</v>
      </c>
      <c r="Z379">
        <f t="shared" si="52"/>
        <v>2564.7399999999998</v>
      </c>
      <c r="AA379">
        <f t="shared" si="53"/>
        <v>810.15999999999985</v>
      </c>
      <c r="AB379" s="7">
        <f t="shared" si="54"/>
        <v>0.31588387126960232</v>
      </c>
      <c r="AC379" t="str">
        <f t="shared" si="55"/>
        <v>May</v>
      </c>
      <c r="AD379">
        <f t="shared" si="56"/>
        <v>2025</v>
      </c>
      <c r="AE379" t="str">
        <f t="shared" si="57"/>
        <v>Clean</v>
      </c>
      <c r="AF379" t="str">
        <f t="shared" si="58"/>
        <v>Match</v>
      </c>
      <c r="AG379" t="str">
        <f t="shared" si="59"/>
        <v>Match</v>
      </c>
    </row>
    <row r="380" spans="1:33">
      <c r="A380" t="s">
        <v>1235</v>
      </c>
      <c r="B380" s="3">
        <v>45799</v>
      </c>
      <c r="C380" s="3">
        <v>45799</v>
      </c>
      <c r="D380">
        <f t="shared" si="50"/>
        <v>0</v>
      </c>
      <c r="E380" t="s">
        <v>1236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1237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>
        <v>1</v>
      </c>
      <c r="X380" t="s">
        <v>2765</v>
      </c>
      <c r="Y380">
        <f t="shared" si="51"/>
        <v>0</v>
      </c>
      <c r="Z380">
        <f t="shared" si="52"/>
        <v>7821.22</v>
      </c>
      <c r="AA380">
        <f t="shared" si="53"/>
        <v>2826.76</v>
      </c>
      <c r="AB380" s="7">
        <f t="shared" si="54"/>
        <v>0.36142187535959863</v>
      </c>
      <c r="AC380" t="str">
        <f t="shared" si="55"/>
        <v>May</v>
      </c>
      <c r="AD380">
        <f t="shared" si="56"/>
        <v>2025</v>
      </c>
      <c r="AE380" t="str">
        <f t="shared" si="57"/>
        <v>Clean</v>
      </c>
      <c r="AF380" t="str">
        <f t="shared" si="58"/>
        <v>Match</v>
      </c>
      <c r="AG380" t="str">
        <f t="shared" si="59"/>
        <v>Match</v>
      </c>
    </row>
    <row r="381" spans="1:33">
      <c r="A381" t="s">
        <v>1238</v>
      </c>
      <c r="B381" s="3">
        <v>45554</v>
      </c>
      <c r="C381" s="3">
        <v>45558</v>
      </c>
      <c r="D381">
        <f t="shared" si="50"/>
        <v>4</v>
      </c>
      <c r="E381" t="s">
        <v>1239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1240</v>
      </c>
      <c r="N381" t="s">
        <v>59</v>
      </c>
      <c r="O381">
        <v>7</v>
      </c>
      <c r="P381">
        <v>1136.68</v>
      </c>
      <c r="Q381"/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>
        <v>1</v>
      </c>
      <c r="X381" t="s">
        <v>2765</v>
      </c>
      <c r="Y381">
        <f t="shared" si="51"/>
        <v>0</v>
      </c>
      <c r="Z381">
        <f t="shared" si="52"/>
        <v>7956.76</v>
      </c>
      <c r="AA381">
        <f t="shared" si="53"/>
        <v>3157.2200000000003</v>
      </c>
      <c r="AB381" s="7">
        <f t="shared" si="54"/>
        <v>0.39679718880549369</v>
      </c>
      <c r="AC381" t="str">
        <f t="shared" si="55"/>
        <v>September</v>
      </c>
      <c r="AD381">
        <f t="shared" si="56"/>
        <v>2024</v>
      </c>
      <c r="AE381" t="str">
        <f t="shared" si="57"/>
        <v>Clean</v>
      </c>
      <c r="AF381" t="str">
        <f t="shared" si="58"/>
        <v>Match</v>
      </c>
      <c r="AG381" t="str">
        <f t="shared" si="59"/>
        <v>Match</v>
      </c>
    </row>
    <row r="382" spans="1:33">
      <c r="A382" t="s">
        <v>1241</v>
      </c>
      <c r="B382" s="3">
        <v>45389</v>
      </c>
      <c r="C382" s="3">
        <v>45396</v>
      </c>
      <c r="D382">
        <f t="shared" si="50"/>
        <v>7</v>
      </c>
      <c r="E382" t="s">
        <v>1242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1243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>
        <v>1</v>
      </c>
      <c r="X382" t="s">
        <v>2765</v>
      </c>
      <c r="Y382">
        <f t="shared" si="51"/>
        <v>0.25</v>
      </c>
      <c r="Z382">
        <f t="shared" si="52"/>
        <v>8384.4375</v>
      </c>
      <c r="AA382">
        <f t="shared" si="53"/>
        <v>3618.4775</v>
      </c>
      <c r="AB382" s="7">
        <f t="shared" si="54"/>
        <v>0.43157069272685256</v>
      </c>
      <c r="AC382" t="str">
        <f t="shared" si="55"/>
        <v>April</v>
      </c>
      <c r="AD382">
        <f t="shared" si="56"/>
        <v>2024</v>
      </c>
      <c r="AE382" t="str">
        <f t="shared" si="57"/>
        <v>Clean</v>
      </c>
      <c r="AF382" t="str">
        <f t="shared" si="58"/>
        <v>Match</v>
      </c>
      <c r="AG382" t="str">
        <f t="shared" si="59"/>
        <v>Match</v>
      </c>
    </row>
    <row r="383" spans="1:33">
      <c r="A383" t="s">
        <v>1244</v>
      </c>
      <c r="B383" s="3">
        <v>45919</v>
      </c>
      <c r="C383" s="3">
        <v>45923</v>
      </c>
      <c r="D383">
        <f t="shared" si="50"/>
        <v>4</v>
      </c>
      <c r="E383" t="s">
        <v>1245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1246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>
        <v>1</v>
      </c>
      <c r="X383" t="s">
        <v>2765</v>
      </c>
      <c r="Y383">
        <f t="shared" si="51"/>
        <v>0.05</v>
      </c>
      <c r="Z383">
        <f t="shared" si="52"/>
        <v>16671.169999999998</v>
      </c>
      <c r="AA383">
        <f t="shared" si="53"/>
        <v>5837.9799999999977</v>
      </c>
      <c r="AB383" s="7">
        <f t="shared" si="54"/>
        <v>0.35018418023450054</v>
      </c>
      <c r="AC383" t="str">
        <f t="shared" si="55"/>
        <v>September</v>
      </c>
      <c r="AD383">
        <f t="shared" si="56"/>
        <v>2025</v>
      </c>
      <c r="AE383" t="str">
        <f t="shared" si="57"/>
        <v>Clean</v>
      </c>
      <c r="AF383" t="str">
        <f t="shared" si="58"/>
        <v>Match</v>
      </c>
      <c r="AG383" t="str">
        <f t="shared" si="59"/>
        <v>Match</v>
      </c>
    </row>
    <row r="384" spans="1:33">
      <c r="A384" t="s">
        <v>1247</v>
      </c>
      <c r="B384" s="3">
        <v>45720</v>
      </c>
      <c r="C384" s="3">
        <v>45724</v>
      </c>
      <c r="D384">
        <f t="shared" si="50"/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1248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>
        <v>1</v>
      </c>
      <c r="X384" t="s">
        <v>2765</v>
      </c>
      <c r="Y384">
        <f t="shared" si="51"/>
        <v>0.2</v>
      </c>
      <c r="Z384">
        <f t="shared" si="52"/>
        <v>10468.440000000002</v>
      </c>
      <c r="AA384">
        <f t="shared" si="53"/>
        <v>2068.5700000000015</v>
      </c>
      <c r="AB384" s="7">
        <f t="shared" si="54"/>
        <v>0.19760059760575607</v>
      </c>
      <c r="AC384" t="str">
        <f t="shared" si="55"/>
        <v>March</v>
      </c>
      <c r="AD384">
        <f t="shared" si="56"/>
        <v>2025</v>
      </c>
      <c r="AE384" t="str">
        <f t="shared" si="57"/>
        <v>Clean</v>
      </c>
      <c r="AF384" t="str">
        <f t="shared" si="58"/>
        <v>Match</v>
      </c>
      <c r="AG384" t="str">
        <f t="shared" si="59"/>
        <v>Match</v>
      </c>
    </row>
    <row r="385" spans="1:33">
      <c r="A385" t="s">
        <v>1249</v>
      </c>
      <c r="B385" s="3">
        <v>45836</v>
      </c>
      <c r="C385" s="3">
        <v>45843</v>
      </c>
      <c r="D385">
        <f t="shared" si="50"/>
        <v>7</v>
      </c>
      <c r="E385" t="s">
        <v>1250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1251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>
        <v>1</v>
      </c>
      <c r="X385" t="s">
        <v>2765</v>
      </c>
      <c r="Y385">
        <f t="shared" si="51"/>
        <v>0</v>
      </c>
      <c r="Z385">
        <f t="shared" si="52"/>
        <v>4485.5</v>
      </c>
      <c r="AA385">
        <f t="shared" si="53"/>
        <v>1353.6399999999999</v>
      </c>
      <c r="AB385" s="7">
        <f t="shared" si="54"/>
        <v>0.30178129528480657</v>
      </c>
      <c r="AC385" t="str">
        <f t="shared" si="55"/>
        <v>June</v>
      </c>
      <c r="AD385">
        <f t="shared" si="56"/>
        <v>2025</v>
      </c>
      <c r="AE385" t="str">
        <f t="shared" si="57"/>
        <v>Clean</v>
      </c>
      <c r="AF385" t="str">
        <f t="shared" si="58"/>
        <v>Match</v>
      </c>
      <c r="AG385" t="str">
        <f t="shared" si="59"/>
        <v>Match</v>
      </c>
    </row>
    <row r="386" spans="1:33">
      <c r="A386" t="s">
        <v>1252</v>
      </c>
      <c r="B386" s="3">
        <v>45366</v>
      </c>
      <c r="C386" s="3">
        <v>45371</v>
      </c>
      <c r="D386">
        <f t="shared" ref="D386:D449" si="60">C386-B386</f>
        <v>5</v>
      </c>
      <c r="E386" t="s">
        <v>1253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1254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>
        <v>1</v>
      </c>
      <c r="X386" t="s">
        <v>2765</v>
      </c>
      <c r="Y386">
        <f t="shared" si="51"/>
        <v>0.25</v>
      </c>
      <c r="Z386">
        <f t="shared" si="52"/>
        <v>2822.1000000000004</v>
      </c>
      <c r="AA386">
        <f t="shared" si="53"/>
        <v>1197.5300000000004</v>
      </c>
      <c r="AB386" s="7">
        <f t="shared" si="54"/>
        <v>0.42434003047376079</v>
      </c>
      <c r="AC386" t="str">
        <f t="shared" si="55"/>
        <v>March</v>
      </c>
      <c r="AD386">
        <f t="shared" si="56"/>
        <v>2024</v>
      </c>
      <c r="AE386" t="str">
        <f t="shared" si="57"/>
        <v>Clean</v>
      </c>
      <c r="AF386" t="str">
        <f t="shared" si="58"/>
        <v>Match</v>
      </c>
      <c r="AG386" t="str">
        <f t="shared" si="59"/>
        <v>Match</v>
      </c>
    </row>
    <row r="387" spans="1:33">
      <c r="A387" t="s">
        <v>1255</v>
      </c>
      <c r="B387" s="3">
        <v>45832</v>
      </c>
      <c r="C387" s="3">
        <v>45838</v>
      </c>
      <c r="D387">
        <f t="shared" si="60"/>
        <v>6</v>
      </c>
      <c r="E387" t="s">
        <v>1256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1257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>
        <v>1</v>
      </c>
      <c r="X387" t="s">
        <v>2765</v>
      </c>
      <c r="Y387">
        <f t="shared" ref="Y387:Y450" si="61">IF(
Q387="",
0,
IF(Q387&gt;1,
Q387/100,
Q387)
)</f>
        <v>0.1</v>
      </c>
      <c r="Z387">
        <f t="shared" ref="Z387:Z450" si="62">O387*P387*(1-Y387)</f>
        <v>1975.104</v>
      </c>
      <c r="AA387">
        <f t="shared" ref="AA387:AA450" si="63">Z387-S387</f>
        <v>859.75400000000013</v>
      </c>
      <c r="AB387" s="7">
        <f t="shared" ref="AB387:AB450" si="64">IF(Z387=0,0,
AA387/Z387)</f>
        <v>0.4352955591199249</v>
      </c>
      <c r="AC387" t="str">
        <f t="shared" ref="AC387:AC450" si="65">TEXT(B387,"mmmm")</f>
        <v>June</v>
      </c>
      <c r="AD387">
        <f t="shared" ref="AD387:AD450" si="66">YEAR(B387)</f>
        <v>2025</v>
      </c>
      <c r="AE387" t="str">
        <f t="shared" ref="AE387:AE450" si="67">IF(
OR(
Y387&lt;0,
D387&lt;0
),
"Invalid",
IF(
X387="Review Required",
"Warning",
"Clean"
)
)</f>
        <v>Clean</v>
      </c>
      <c r="AF387" t="str">
        <f t="shared" ref="AF387:AF450" si="68">IF(ABS(R387-Z387)&gt;0.01,
"Mismatch",
"Match")</f>
        <v>Match</v>
      </c>
      <c r="AG387" t="str">
        <f t="shared" ref="AG387:AG450" si="69">IF(ABS(T387-AA387)&gt;0.01,
"Mismatch",
"Match")</f>
        <v>Match</v>
      </c>
    </row>
    <row r="388" spans="1:33">
      <c r="A388" t="s">
        <v>1258</v>
      </c>
      <c r="B388" s="3">
        <v>45700</v>
      </c>
      <c r="C388" s="3">
        <v>45702</v>
      </c>
      <c r="D388">
        <f t="shared" si="60"/>
        <v>2</v>
      </c>
      <c r="E388" t="s">
        <v>1259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1260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>
        <v>1</v>
      </c>
      <c r="X388" t="s">
        <v>2765</v>
      </c>
      <c r="Y388">
        <f t="shared" si="61"/>
        <v>0.1</v>
      </c>
      <c r="Z388">
        <f t="shared" si="62"/>
        <v>20063.952000000001</v>
      </c>
      <c r="AA388">
        <f t="shared" si="63"/>
        <v>5700.5720000000019</v>
      </c>
      <c r="AB388" s="7">
        <f t="shared" si="64"/>
        <v>0.2841200975759911</v>
      </c>
      <c r="AC388" t="str">
        <f t="shared" si="65"/>
        <v>February</v>
      </c>
      <c r="AD388">
        <f t="shared" si="66"/>
        <v>2025</v>
      </c>
      <c r="AE388" t="str">
        <f t="shared" si="67"/>
        <v>Clean</v>
      </c>
      <c r="AF388" t="str">
        <f t="shared" si="68"/>
        <v>Match</v>
      </c>
      <c r="AG388" t="str">
        <f t="shared" si="69"/>
        <v>Match</v>
      </c>
    </row>
    <row r="389" spans="1:33">
      <c r="A389" t="s">
        <v>1261</v>
      </c>
      <c r="B389" s="3">
        <v>45879</v>
      </c>
      <c r="C389" s="3">
        <v>45882</v>
      </c>
      <c r="D389">
        <f t="shared" si="60"/>
        <v>3</v>
      </c>
      <c r="E389" t="s">
        <v>1262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1263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>
        <v>1</v>
      </c>
      <c r="X389" t="s">
        <v>2765</v>
      </c>
      <c r="Y389">
        <f t="shared" si="61"/>
        <v>0</v>
      </c>
      <c r="Z389">
        <f t="shared" si="62"/>
        <v>1764.3000000000002</v>
      </c>
      <c r="AA389">
        <f t="shared" si="63"/>
        <v>431.81000000000017</v>
      </c>
      <c r="AB389" s="7">
        <f t="shared" si="64"/>
        <v>0.24474862551720236</v>
      </c>
      <c r="AC389" t="str">
        <f t="shared" si="65"/>
        <v>August</v>
      </c>
      <c r="AD389">
        <f t="shared" si="66"/>
        <v>2025</v>
      </c>
      <c r="AE389" t="str">
        <f t="shared" si="67"/>
        <v>Clean</v>
      </c>
      <c r="AF389" t="str">
        <f t="shared" si="68"/>
        <v>Match</v>
      </c>
      <c r="AG389" t="str">
        <f t="shared" si="69"/>
        <v>Match</v>
      </c>
    </row>
    <row r="390" spans="1:33">
      <c r="A390" t="s">
        <v>1264</v>
      </c>
      <c r="B390" s="3">
        <v>45425</v>
      </c>
      <c r="C390" s="3">
        <v>45430</v>
      </c>
      <c r="D390">
        <f t="shared" si="60"/>
        <v>5</v>
      </c>
      <c r="E390" t="s">
        <v>1265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1266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>
        <v>1</v>
      </c>
      <c r="X390" t="s">
        <v>2765</v>
      </c>
      <c r="Y390">
        <f t="shared" si="61"/>
        <v>0</v>
      </c>
      <c r="Z390">
        <f t="shared" si="62"/>
        <v>9385.77</v>
      </c>
      <c r="AA390">
        <f t="shared" si="63"/>
        <v>2513.3300000000008</v>
      </c>
      <c r="AB390" s="7">
        <f t="shared" si="64"/>
        <v>0.26778090662779941</v>
      </c>
      <c r="AC390" t="str">
        <f t="shared" si="65"/>
        <v>May</v>
      </c>
      <c r="AD390">
        <f t="shared" si="66"/>
        <v>2024</v>
      </c>
      <c r="AE390" t="str">
        <f t="shared" si="67"/>
        <v>Clean</v>
      </c>
      <c r="AF390" t="str">
        <f t="shared" si="68"/>
        <v>Match</v>
      </c>
      <c r="AG390" t="str">
        <f t="shared" si="69"/>
        <v>Mismatch</v>
      </c>
    </row>
    <row r="391" spans="1:33">
      <c r="A391" t="s">
        <v>1267</v>
      </c>
      <c r="B391" s="3">
        <v>45387</v>
      </c>
      <c r="C391" s="3">
        <v>45395</v>
      </c>
      <c r="D391">
        <f t="shared" si="60"/>
        <v>8</v>
      </c>
      <c r="E391" t="s">
        <v>1268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1269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>
        <v>1</v>
      </c>
      <c r="X391" t="s">
        <v>2765</v>
      </c>
      <c r="Y391">
        <f t="shared" si="61"/>
        <v>0.2</v>
      </c>
      <c r="Z391">
        <f t="shared" si="62"/>
        <v>7750.1600000000008</v>
      </c>
      <c r="AA391">
        <f t="shared" si="63"/>
        <v>2315.8600000000006</v>
      </c>
      <c r="AB391" s="7">
        <f t="shared" si="64"/>
        <v>0.29881447608823564</v>
      </c>
      <c r="AC391" t="str">
        <f t="shared" si="65"/>
        <v>April</v>
      </c>
      <c r="AD391">
        <f t="shared" si="66"/>
        <v>2024</v>
      </c>
      <c r="AE391" t="str">
        <f t="shared" si="67"/>
        <v>Clean</v>
      </c>
      <c r="AF391" t="str">
        <f t="shared" si="68"/>
        <v>Match</v>
      </c>
      <c r="AG391" t="str">
        <f t="shared" si="69"/>
        <v>Match</v>
      </c>
    </row>
    <row r="392" spans="1:33">
      <c r="A392" t="s">
        <v>1270</v>
      </c>
      <c r="B392" s="3">
        <v>45602</v>
      </c>
      <c r="C392" s="3">
        <v>45607</v>
      </c>
      <c r="D392">
        <f t="shared" si="60"/>
        <v>5</v>
      </c>
      <c r="E392" t="s">
        <v>1271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1272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>
        <v>1</v>
      </c>
      <c r="X392" t="s">
        <v>2765</v>
      </c>
      <c r="Y392">
        <f t="shared" si="61"/>
        <v>0.2</v>
      </c>
      <c r="Z392">
        <f t="shared" si="62"/>
        <v>6135.232</v>
      </c>
      <c r="AA392">
        <f t="shared" si="63"/>
        <v>2695.442</v>
      </c>
      <c r="AB392" s="7">
        <f t="shared" si="64"/>
        <v>0.43933823529411764</v>
      </c>
      <c r="AC392" t="str">
        <f t="shared" si="65"/>
        <v>November</v>
      </c>
      <c r="AD392">
        <f t="shared" si="66"/>
        <v>2024</v>
      </c>
      <c r="AE392" t="str">
        <f t="shared" si="67"/>
        <v>Clean</v>
      </c>
      <c r="AF392" t="str">
        <f t="shared" si="68"/>
        <v>Match</v>
      </c>
      <c r="AG392" t="str">
        <f t="shared" si="69"/>
        <v>Match</v>
      </c>
    </row>
    <row r="393" spans="1:33">
      <c r="A393" t="s">
        <v>1273</v>
      </c>
      <c r="B393" s="3">
        <v>45702</v>
      </c>
      <c r="C393" s="3">
        <v>45702</v>
      </c>
      <c r="D393">
        <f t="shared" si="60"/>
        <v>0</v>
      </c>
      <c r="E393" t="s">
        <v>1274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1275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>
        <v>1</v>
      </c>
      <c r="X393" t="s">
        <v>2765</v>
      </c>
      <c r="Y393">
        <f t="shared" si="61"/>
        <v>0</v>
      </c>
      <c r="Z393">
        <f t="shared" si="62"/>
        <v>714.43</v>
      </c>
      <c r="AA393">
        <f t="shared" si="63"/>
        <v>148.9899999999999</v>
      </c>
      <c r="AB393" s="7">
        <f t="shared" si="64"/>
        <v>0.20854387413742412</v>
      </c>
      <c r="AC393" t="str">
        <f t="shared" si="65"/>
        <v>February</v>
      </c>
      <c r="AD393">
        <f t="shared" si="66"/>
        <v>2025</v>
      </c>
      <c r="AE393" t="str">
        <f t="shared" si="67"/>
        <v>Clean</v>
      </c>
      <c r="AF393" t="str">
        <f t="shared" si="68"/>
        <v>Match</v>
      </c>
      <c r="AG393" t="str">
        <f t="shared" si="69"/>
        <v>Match</v>
      </c>
    </row>
    <row r="394" spans="1:33">
      <c r="A394" t="s">
        <v>1276</v>
      </c>
      <c r="B394" s="3">
        <v>45341</v>
      </c>
      <c r="C394" s="3">
        <v>45344</v>
      </c>
      <c r="D394">
        <f t="shared" si="60"/>
        <v>3</v>
      </c>
      <c r="E394" t="s">
        <v>1277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1278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>
        <v>1</v>
      </c>
      <c r="X394" t="s">
        <v>2765</v>
      </c>
      <c r="Y394">
        <f t="shared" si="61"/>
        <v>0</v>
      </c>
      <c r="Z394">
        <f t="shared" si="62"/>
        <v>36477.090000000004</v>
      </c>
      <c r="AA394">
        <f t="shared" si="63"/>
        <v>11951.610000000004</v>
      </c>
      <c r="AB394" s="7">
        <f t="shared" si="64"/>
        <v>0.32764702447481425</v>
      </c>
      <c r="AC394" t="str">
        <f t="shared" si="65"/>
        <v>February</v>
      </c>
      <c r="AD394">
        <f t="shared" si="66"/>
        <v>2024</v>
      </c>
      <c r="AE394" t="str">
        <f t="shared" si="67"/>
        <v>Clean</v>
      </c>
      <c r="AF394" t="str">
        <f t="shared" si="68"/>
        <v>Match</v>
      </c>
      <c r="AG394" t="str">
        <f t="shared" si="69"/>
        <v>Match</v>
      </c>
    </row>
    <row r="395" spans="1:33">
      <c r="A395" t="s">
        <v>1279</v>
      </c>
      <c r="B395" s="3">
        <v>45527</v>
      </c>
      <c r="C395" s="3">
        <v>45533</v>
      </c>
      <c r="D395">
        <f t="shared" si="60"/>
        <v>6</v>
      </c>
      <c r="E395" t="s">
        <v>1280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1281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>
        <v>1</v>
      </c>
      <c r="X395" t="s">
        <v>2765</v>
      </c>
      <c r="Y395">
        <f t="shared" si="61"/>
        <v>0.05</v>
      </c>
      <c r="Z395">
        <f t="shared" si="62"/>
        <v>3680.1289999999999</v>
      </c>
      <c r="AA395">
        <f t="shared" si="63"/>
        <v>712.66899999999987</v>
      </c>
      <c r="AB395" s="7">
        <f t="shared" si="64"/>
        <v>0.19365326595888346</v>
      </c>
      <c r="AC395" t="str">
        <f t="shared" si="65"/>
        <v>August</v>
      </c>
      <c r="AD395">
        <f t="shared" si="66"/>
        <v>2024</v>
      </c>
      <c r="AE395" t="str">
        <f t="shared" si="67"/>
        <v>Clean</v>
      </c>
      <c r="AF395" t="str">
        <f t="shared" si="68"/>
        <v>Match</v>
      </c>
      <c r="AG395" t="str">
        <f t="shared" si="69"/>
        <v>Match</v>
      </c>
    </row>
    <row r="396" spans="1:33">
      <c r="A396" t="s">
        <v>1282</v>
      </c>
      <c r="B396" s="3">
        <v>45385</v>
      </c>
      <c r="C396" s="3">
        <v>45386</v>
      </c>
      <c r="D396">
        <f t="shared" si="60"/>
        <v>1</v>
      </c>
      <c r="E396" t="s">
        <v>1283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1284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>
        <v>1</v>
      </c>
      <c r="X396" t="s">
        <v>2765</v>
      </c>
      <c r="Y396">
        <f t="shared" si="61"/>
        <v>0</v>
      </c>
      <c r="Z396">
        <f t="shared" si="62"/>
        <v>27616.47</v>
      </c>
      <c r="AA396">
        <f t="shared" si="63"/>
        <v>6391.2100000000028</v>
      </c>
      <c r="AB396" s="7">
        <f t="shared" si="64"/>
        <v>0.23142747787823725</v>
      </c>
      <c r="AC396" t="str">
        <f t="shared" si="65"/>
        <v>April</v>
      </c>
      <c r="AD396">
        <f t="shared" si="66"/>
        <v>2024</v>
      </c>
      <c r="AE396" t="str">
        <f t="shared" si="67"/>
        <v>Clean</v>
      </c>
      <c r="AF396" t="str">
        <f t="shared" si="68"/>
        <v>Match</v>
      </c>
      <c r="AG396" t="str">
        <f t="shared" si="69"/>
        <v>Match</v>
      </c>
    </row>
    <row r="397" spans="1:33">
      <c r="A397" t="s">
        <v>1285</v>
      </c>
      <c r="B397" s="3">
        <v>45449</v>
      </c>
      <c r="C397" s="3">
        <v>45450</v>
      </c>
      <c r="D397">
        <f t="shared" si="60"/>
        <v>1</v>
      </c>
      <c r="E397" t="s">
        <v>1286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1287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>
        <v>1</v>
      </c>
      <c r="X397" t="s">
        <v>2765</v>
      </c>
      <c r="Y397">
        <f t="shared" si="61"/>
        <v>0.05</v>
      </c>
      <c r="Z397">
        <f t="shared" si="62"/>
        <v>5731.7014999999992</v>
      </c>
      <c r="AA397">
        <f t="shared" si="63"/>
        <v>1616.1414999999988</v>
      </c>
      <c r="AB397" s="7">
        <f t="shared" si="64"/>
        <v>0.28196539893084088</v>
      </c>
      <c r="AC397" t="str">
        <f t="shared" si="65"/>
        <v>June</v>
      </c>
      <c r="AD397">
        <f t="shared" si="66"/>
        <v>2024</v>
      </c>
      <c r="AE397" t="str">
        <f t="shared" si="67"/>
        <v>Clean</v>
      </c>
      <c r="AF397" t="str">
        <f t="shared" si="68"/>
        <v>Match</v>
      </c>
      <c r="AG397" t="str">
        <f t="shared" si="69"/>
        <v>Match</v>
      </c>
    </row>
    <row r="398" spans="1:33">
      <c r="A398" t="s">
        <v>1288</v>
      </c>
      <c r="B398" s="3">
        <v>45761</v>
      </c>
      <c r="C398" s="3">
        <v>45769</v>
      </c>
      <c r="D398">
        <f t="shared" si="60"/>
        <v>8</v>
      </c>
      <c r="E398" t="s">
        <v>1289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1290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>
        <v>1</v>
      </c>
      <c r="X398" t="s">
        <v>2765</v>
      </c>
      <c r="Y398">
        <f t="shared" si="61"/>
        <v>0.05</v>
      </c>
      <c r="Z398">
        <f t="shared" si="62"/>
        <v>1213.587</v>
      </c>
      <c r="AA398">
        <f t="shared" si="63"/>
        <v>257.36699999999996</v>
      </c>
      <c r="AB398" s="7">
        <f t="shared" si="64"/>
        <v>0.21207132245154239</v>
      </c>
      <c r="AC398" t="str">
        <f t="shared" si="65"/>
        <v>April</v>
      </c>
      <c r="AD398">
        <f t="shared" si="66"/>
        <v>2025</v>
      </c>
      <c r="AE398" t="str">
        <f t="shared" si="67"/>
        <v>Clean</v>
      </c>
      <c r="AF398" t="str">
        <f t="shared" si="68"/>
        <v>Match</v>
      </c>
      <c r="AG398" t="str">
        <f t="shared" si="69"/>
        <v>Match</v>
      </c>
    </row>
    <row r="399" spans="1:33">
      <c r="A399" t="s">
        <v>1291</v>
      </c>
      <c r="B399" s="3">
        <v>45817</v>
      </c>
      <c r="C399" s="3">
        <v>45818</v>
      </c>
      <c r="D399">
        <f t="shared" si="60"/>
        <v>1</v>
      </c>
      <c r="E399" t="s">
        <v>1292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1293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>
        <v>1</v>
      </c>
      <c r="X399" t="s">
        <v>2765</v>
      </c>
      <c r="Y399">
        <f t="shared" si="61"/>
        <v>0</v>
      </c>
      <c r="Z399">
        <f t="shared" si="62"/>
        <v>3463.76</v>
      </c>
      <c r="AA399">
        <f t="shared" si="63"/>
        <v>1320.0200000000004</v>
      </c>
      <c r="AB399" s="7">
        <f t="shared" si="64"/>
        <v>0.38109453310852959</v>
      </c>
      <c r="AC399" t="str">
        <f t="shared" si="65"/>
        <v>June</v>
      </c>
      <c r="AD399">
        <f t="shared" si="66"/>
        <v>2025</v>
      </c>
      <c r="AE399" t="str">
        <f t="shared" si="67"/>
        <v>Clean</v>
      </c>
      <c r="AF399" t="str">
        <f t="shared" si="68"/>
        <v>Match</v>
      </c>
      <c r="AG399" t="str">
        <f t="shared" si="69"/>
        <v>Match</v>
      </c>
    </row>
    <row r="400" spans="1:33">
      <c r="A400" t="s">
        <v>1294</v>
      </c>
      <c r="B400" s="3">
        <v>45492</v>
      </c>
      <c r="C400" s="3">
        <v>45499</v>
      </c>
      <c r="D400">
        <f t="shared" si="60"/>
        <v>7</v>
      </c>
      <c r="E400" t="s">
        <v>1295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1296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>
        <v>1</v>
      </c>
      <c r="X400" t="s">
        <v>2765</v>
      </c>
      <c r="Y400">
        <f t="shared" si="61"/>
        <v>0.2</v>
      </c>
      <c r="Z400">
        <f t="shared" si="62"/>
        <v>2021.8400000000001</v>
      </c>
      <c r="AA400">
        <f t="shared" si="63"/>
        <v>666.62000000000012</v>
      </c>
      <c r="AB400" s="7">
        <f t="shared" si="64"/>
        <v>0.32970957147944452</v>
      </c>
      <c r="AC400" t="str">
        <f t="shared" si="65"/>
        <v>July</v>
      </c>
      <c r="AD400">
        <f t="shared" si="66"/>
        <v>2024</v>
      </c>
      <c r="AE400" t="str">
        <f t="shared" si="67"/>
        <v>Clean</v>
      </c>
      <c r="AF400" t="str">
        <f t="shared" si="68"/>
        <v>Match</v>
      </c>
      <c r="AG400" t="str">
        <f t="shared" si="69"/>
        <v>Match</v>
      </c>
    </row>
    <row r="401" spans="1:33">
      <c r="A401" t="s">
        <v>1297</v>
      </c>
      <c r="B401" s="3">
        <v>45771</v>
      </c>
      <c r="C401" s="3">
        <v>45776</v>
      </c>
      <c r="D401">
        <f t="shared" si="60"/>
        <v>5</v>
      </c>
      <c r="E401" t="s">
        <v>1298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1299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>
        <v>1</v>
      </c>
      <c r="X401" t="s">
        <v>2765</v>
      </c>
      <c r="Y401">
        <f t="shared" si="61"/>
        <v>0.25</v>
      </c>
      <c r="Z401">
        <f t="shared" si="62"/>
        <v>3268.875</v>
      </c>
      <c r="AA401">
        <f t="shared" si="63"/>
        <v>1275.135</v>
      </c>
      <c r="AB401" s="7">
        <f t="shared" si="64"/>
        <v>0.39008374440747962</v>
      </c>
      <c r="AC401" t="str">
        <f t="shared" si="65"/>
        <v>April</v>
      </c>
      <c r="AD401">
        <f t="shared" si="66"/>
        <v>2025</v>
      </c>
      <c r="AE401" t="str">
        <f t="shared" si="67"/>
        <v>Clean</v>
      </c>
      <c r="AF401" t="str">
        <f t="shared" si="68"/>
        <v>Match</v>
      </c>
      <c r="AG401" t="str">
        <f t="shared" si="69"/>
        <v>Match</v>
      </c>
    </row>
    <row r="402" spans="1:33">
      <c r="A402" t="s">
        <v>1300</v>
      </c>
      <c r="B402" s="3">
        <v>45814</v>
      </c>
      <c r="C402" s="3">
        <v>45819</v>
      </c>
      <c r="D402">
        <f t="shared" si="60"/>
        <v>5</v>
      </c>
      <c r="E402" t="s">
        <v>1301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1302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>
        <v>1</v>
      </c>
      <c r="X402" t="s">
        <v>2765</v>
      </c>
      <c r="Y402">
        <f t="shared" si="61"/>
        <v>-0.1</v>
      </c>
      <c r="Z402">
        <f t="shared" si="62"/>
        <v>6761.2930000000006</v>
      </c>
      <c r="AA402">
        <f t="shared" si="63"/>
        <v>1883.9130000000005</v>
      </c>
      <c r="AB402" s="7">
        <f t="shared" si="64"/>
        <v>0.27863206046535777</v>
      </c>
      <c r="AC402" t="str">
        <f t="shared" si="65"/>
        <v>June</v>
      </c>
      <c r="AD402">
        <f t="shared" si="66"/>
        <v>2025</v>
      </c>
      <c r="AE402" t="str">
        <f t="shared" si="67"/>
        <v>Invalid</v>
      </c>
      <c r="AF402" t="str">
        <f t="shared" si="68"/>
        <v>Mismatch</v>
      </c>
      <c r="AG402" t="str">
        <f t="shared" si="69"/>
        <v>Mismatch</v>
      </c>
    </row>
    <row r="403" spans="1:33">
      <c r="A403" t="s">
        <v>1303</v>
      </c>
      <c r="B403" s="3">
        <v>45725</v>
      </c>
      <c r="C403" s="3">
        <v>45732</v>
      </c>
      <c r="D403">
        <f t="shared" si="60"/>
        <v>7</v>
      </c>
      <c r="E403" t="s">
        <v>1304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1305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>
        <v>1</v>
      </c>
      <c r="X403" t="s">
        <v>2765</v>
      </c>
      <c r="Y403">
        <f t="shared" si="61"/>
        <v>0</v>
      </c>
      <c r="Z403">
        <f t="shared" si="62"/>
        <v>7877.5499999999993</v>
      </c>
      <c r="AA403">
        <f t="shared" si="63"/>
        <v>2314.7799999999988</v>
      </c>
      <c r="AB403" s="7">
        <f t="shared" si="64"/>
        <v>0.29384516759652418</v>
      </c>
      <c r="AC403" t="str">
        <f t="shared" si="65"/>
        <v>March</v>
      </c>
      <c r="AD403">
        <f t="shared" si="66"/>
        <v>2025</v>
      </c>
      <c r="AE403" t="str">
        <f t="shared" si="67"/>
        <v>Clean</v>
      </c>
      <c r="AF403" t="str">
        <f t="shared" si="68"/>
        <v>Match</v>
      </c>
      <c r="AG403" t="str">
        <f t="shared" si="69"/>
        <v>Match</v>
      </c>
    </row>
    <row r="404" spans="1:33">
      <c r="A404" t="s">
        <v>1306</v>
      </c>
      <c r="B404" s="3">
        <v>45373</v>
      </c>
      <c r="C404" s="3">
        <v>45373</v>
      </c>
      <c r="D404">
        <f t="shared" si="60"/>
        <v>0</v>
      </c>
      <c r="E404" t="s">
        <v>1307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1308</v>
      </c>
      <c r="N404" t="s">
        <v>2760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>
        <v>1</v>
      </c>
      <c r="X404" t="s">
        <v>2765</v>
      </c>
      <c r="Y404">
        <f t="shared" si="61"/>
        <v>0</v>
      </c>
      <c r="Z404">
        <f t="shared" si="62"/>
        <v>4095.7799999999997</v>
      </c>
      <c r="AA404">
        <f t="shared" si="63"/>
        <v>1288.0099999999998</v>
      </c>
      <c r="AB404" s="7">
        <f t="shared" si="64"/>
        <v>0.31447245701673426</v>
      </c>
      <c r="AC404" t="str">
        <f t="shared" si="65"/>
        <v>March</v>
      </c>
      <c r="AD404">
        <f t="shared" si="66"/>
        <v>2024</v>
      </c>
      <c r="AE404" t="str">
        <f t="shared" si="67"/>
        <v>Clean</v>
      </c>
      <c r="AF404" t="str">
        <f t="shared" si="68"/>
        <v>Match</v>
      </c>
      <c r="AG404" t="str">
        <f t="shared" si="69"/>
        <v>Match</v>
      </c>
    </row>
    <row r="405" spans="1:33">
      <c r="A405" t="s">
        <v>1309</v>
      </c>
      <c r="B405" s="3">
        <v>45565</v>
      </c>
      <c r="C405" s="3">
        <v>45569</v>
      </c>
      <c r="D405">
        <f t="shared" si="60"/>
        <v>4</v>
      </c>
      <c r="E405" t="s">
        <v>1310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1311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>
        <v>1</v>
      </c>
      <c r="X405" t="s">
        <v>2765</v>
      </c>
      <c r="Y405">
        <f t="shared" si="61"/>
        <v>0.05</v>
      </c>
      <c r="Z405">
        <f t="shared" si="62"/>
        <v>16683.1875</v>
      </c>
      <c r="AA405">
        <f t="shared" si="63"/>
        <v>6382.0275000000001</v>
      </c>
      <c r="AB405" s="7">
        <f t="shared" si="64"/>
        <v>0.38254245479168775</v>
      </c>
      <c r="AC405" t="str">
        <f t="shared" si="65"/>
        <v>September</v>
      </c>
      <c r="AD405">
        <f t="shared" si="66"/>
        <v>2024</v>
      </c>
      <c r="AE405" t="str">
        <f t="shared" si="67"/>
        <v>Clean</v>
      </c>
      <c r="AF405" t="str">
        <f t="shared" si="68"/>
        <v>Match</v>
      </c>
      <c r="AG405" t="str">
        <f t="shared" si="69"/>
        <v>Match</v>
      </c>
    </row>
    <row r="406" spans="1:33">
      <c r="A406" t="s">
        <v>1312</v>
      </c>
      <c r="B406" s="3">
        <v>45318</v>
      </c>
      <c r="C406" s="3">
        <v>45325</v>
      </c>
      <c r="D406">
        <f t="shared" si="60"/>
        <v>7</v>
      </c>
      <c r="E406" t="s">
        <v>1313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1314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>
        <v>1</v>
      </c>
      <c r="X406" t="s">
        <v>2765</v>
      </c>
      <c r="Y406">
        <f t="shared" si="61"/>
        <v>0</v>
      </c>
      <c r="Z406">
        <f t="shared" si="62"/>
        <v>1078.83</v>
      </c>
      <c r="AA406">
        <f t="shared" si="63"/>
        <v>152.4799999999999</v>
      </c>
      <c r="AB406" s="7">
        <f t="shared" si="64"/>
        <v>0.14133830167867034</v>
      </c>
      <c r="AC406" t="str">
        <f t="shared" si="65"/>
        <v>January</v>
      </c>
      <c r="AD406">
        <f t="shared" si="66"/>
        <v>2024</v>
      </c>
      <c r="AE406" t="str">
        <f t="shared" si="67"/>
        <v>Clean</v>
      </c>
      <c r="AF406" t="str">
        <f t="shared" si="68"/>
        <v>Match</v>
      </c>
      <c r="AG406" t="str">
        <f t="shared" si="69"/>
        <v>Match</v>
      </c>
    </row>
    <row r="407" spans="1:33">
      <c r="A407" t="s">
        <v>1315</v>
      </c>
      <c r="B407" s="3">
        <v>45558</v>
      </c>
      <c r="C407" s="3">
        <v>45559</v>
      </c>
      <c r="D407">
        <f t="shared" si="60"/>
        <v>1</v>
      </c>
      <c r="E407" t="s">
        <v>1316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1317</v>
      </c>
      <c r="N407" t="s">
        <v>2760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>
        <v>1</v>
      </c>
      <c r="X407" t="s">
        <v>2765</v>
      </c>
      <c r="Y407">
        <f t="shared" si="61"/>
        <v>0.1</v>
      </c>
      <c r="Z407">
        <f t="shared" si="62"/>
        <v>24431.463</v>
      </c>
      <c r="AA407">
        <f t="shared" si="63"/>
        <v>6229.1029999999992</v>
      </c>
      <c r="AB407" s="7">
        <f t="shared" si="64"/>
        <v>0.25496234097810677</v>
      </c>
      <c r="AC407" t="str">
        <f t="shared" si="65"/>
        <v>September</v>
      </c>
      <c r="AD407">
        <f t="shared" si="66"/>
        <v>2024</v>
      </c>
      <c r="AE407" t="str">
        <f t="shared" si="67"/>
        <v>Clean</v>
      </c>
      <c r="AF407" t="str">
        <f t="shared" si="68"/>
        <v>Match</v>
      </c>
      <c r="AG407" t="str">
        <f t="shared" si="69"/>
        <v>Match</v>
      </c>
    </row>
    <row r="408" spans="1:33">
      <c r="A408" t="s">
        <v>1318</v>
      </c>
      <c r="B408" s="3">
        <v>45713</v>
      </c>
      <c r="C408" s="3">
        <v>45713</v>
      </c>
      <c r="D408">
        <f t="shared" si="60"/>
        <v>0</v>
      </c>
      <c r="E408" t="s">
        <v>1319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1320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>
        <v>1</v>
      </c>
      <c r="X408" t="s">
        <v>2765</v>
      </c>
      <c r="Y408">
        <f t="shared" si="61"/>
        <v>0.25</v>
      </c>
      <c r="Z408">
        <f t="shared" si="62"/>
        <v>5886.2999999999993</v>
      </c>
      <c r="AA408">
        <f t="shared" si="63"/>
        <v>2264.5399999999991</v>
      </c>
      <c r="AB408" s="7">
        <f t="shared" si="64"/>
        <v>0.38471365713606159</v>
      </c>
      <c r="AC408" t="str">
        <f t="shared" si="65"/>
        <v>February</v>
      </c>
      <c r="AD408">
        <f t="shared" si="66"/>
        <v>2025</v>
      </c>
      <c r="AE408" t="str">
        <f t="shared" si="67"/>
        <v>Clean</v>
      </c>
      <c r="AF408" t="str">
        <f t="shared" si="68"/>
        <v>Match</v>
      </c>
      <c r="AG408" t="str">
        <f t="shared" si="69"/>
        <v>Match</v>
      </c>
    </row>
    <row r="409" spans="1:33">
      <c r="A409" t="s">
        <v>1321</v>
      </c>
      <c r="B409" s="3">
        <v>45424</v>
      </c>
      <c r="C409" s="3">
        <v>45425</v>
      </c>
      <c r="D409">
        <f t="shared" si="60"/>
        <v>1</v>
      </c>
      <c r="E409" t="s">
        <v>1322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1323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>
        <v>1</v>
      </c>
      <c r="X409" t="s">
        <v>2765</v>
      </c>
      <c r="Y409">
        <f t="shared" si="61"/>
        <v>0</v>
      </c>
      <c r="Z409">
        <f t="shared" si="62"/>
        <v>7933.6500000000005</v>
      </c>
      <c r="AA409">
        <f t="shared" si="63"/>
        <v>2235.2300000000005</v>
      </c>
      <c r="AB409" s="7">
        <f t="shared" si="64"/>
        <v>0.2817404347305465</v>
      </c>
      <c r="AC409" t="str">
        <f t="shared" si="65"/>
        <v>May</v>
      </c>
      <c r="AD409">
        <f t="shared" si="66"/>
        <v>2024</v>
      </c>
      <c r="AE409" t="str">
        <f t="shared" si="67"/>
        <v>Clean</v>
      </c>
      <c r="AF409" t="str">
        <f t="shared" si="68"/>
        <v>Match</v>
      </c>
      <c r="AG409" t="str">
        <f t="shared" si="69"/>
        <v>Match</v>
      </c>
    </row>
    <row r="410" spans="1:33">
      <c r="A410" t="s">
        <v>1324</v>
      </c>
      <c r="B410" s="3">
        <v>45870</v>
      </c>
      <c r="C410" s="3">
        <v>45872</v>
      </c>
      <c r="D410">
        <f t="shared" si="60"/>
        <v>2</v>
      </c>
      <c r="E410" t="s">
        <v>1325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1326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>
        <v>1</v>
      </c>
      <c r="X410" t="s">
        <v>2765</v>
      </c>
      <c r="Y410">
        <f t="shared" si="61"/>
        <v>0</v>
      </c>
      <c r="Z410">
        <f t="shared" si="62"/>
        <v>7093.84</v>
      </c>
      <c r="AA410">
        <f t="shared" si="63"/>
        <v>2506.3500000000004</v>
      </c>
      <c r="AB410" s="7">
        <f t="shared" si="64"/>
        <v>0.35331357910525191</v>
      </c>
      <c r="AC410" t="str">
        <f t="shared" si="65"/>
        <v>August</v>
      </c>
      <c r="AD410">
        <f t="shared" si="66"/>
        <v>2025</v>
      </c>
      <c r="AE410" t="str">
        <f t="shared" si="67"/>
        <v>Clean</v>
      </c>
      <c r="AF410" t="str">
        <f t="shared" si="68"/>
        <v>Match</v>
      </c>
      <c r="AG410" t="str">
        <f t="shared" si="69"/>
        <v>Match</v>
      </c>
    </row>
    <row r="411" spans="1:33">
      <c r="A411" t="s">
        <v>1327</v>
      </c>
      <c r="B411" s="3">
        <v>45701</v>
      </c>
      <c r="C411" s="3">
        <v>45703</v>
      </c>
      <c r="D411">
        <f t="shared" si="60"/>
        <v>2</v>
      </c>
      <c r="E411" t="s">
        <v>1328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1329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>
        <v>1</v>
      </c>
      <c r="X411" t="s">
        <v>2765</v>
      </c>
      <c r="Y411">
        <f t="shared" si="61"/>
        <v>0.25</v>
      </c>
      <c r="Z411">
        <f t="shared" si="62"/>
        <v>2269.0950000000003</v>
      </c>
      <c r="AA411">
        <f t="shared" si="63"/>
        <v>675.50500000000034</v>
      </c>
      <c r="AB411" s="7">
        <f t="shared" si="64"/>
        <v>0.29769798091309541</v>
      </c>
      <c r="AC411" t="str">
        <f t="shared" si="65"/>
        <v>February</v>
      </c>
      <c r="AD411">
        <f t="shared" si="66"/>
        <v>2025</v>
      </c>
      <c r="AE411" t="str">
        <f t="shared" si="67"/>
        <v>Clean</v>
      </c>
      <c r="AF411" t="str">
        <f t="shared" si="68"/>
        <v>Match</v>
      </c>
      <c r="AG411" t="str">
        <f t="shared" si="69"/>
        <v>Match</v>
      </c>
    </row>
    <row r="412" spans="1:33">
      <c r="A412" t="s">
        <v>1330</v>
      </c>
      <c r="B412" s="3">
        <v>45394</v>
      </c>
      <c r="C412" s="3">
        <v>45402</v>
      </c>
      <c r="D412">
        <f t="shared" si="60"/>
        <v>8</v>
      </c>
      <c r="E412" t="s">
        <v>1331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1332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>
        <v>1</v>
      </c>
      <c r="X412" t="s">
        <v>2765</v>
      </c>
      <c r="Y412">
        <f t="shared" si="61"/>
        <v>0.2</v>
      </c>
      <c r="Z412">
        <f t="shared" si="62"/>
        <v>9378.7919999999995</v>
      </c>
      <c r="AA412">
        <f t="shared" si="63"/>
        <v>2604.3119999999999</v>
      </c>
      <c r="AB412" s="7">
        <f t="shared" si="64"/>
        <v>0.27768096360384154</v>
      </c>
      <c r="AC412" t="str">
        <f t="shared" si="65"/>
        <v>April</v>
      </c>
      <c r="AD412">
        <f t="shared" si="66"/>
        <v>2024</v>
      </c>
      <c r="AE412" t="str">
        <f t="shared" si="67"/>
        <v>Clean</v>
      </c>
      <c r="AF412" t="str">
        <f t="shared" si="68"/>
        <v>Match</v>
      </c>
      <c r="AG412" t="str">
        <f t="shared" si="69"/>
        <v>Match</v>
      </c>
    </row>
    <row r="413" spans="1:33">
      <c r="A413" t="s">
        <v>1333</v>
      </c>
      <c r="B413" s="3">
        <v>45892</v>
      </c>
      <c r="C413" s="3">
        <v>45897</v>
      </c>
      <c r="D413">
        <f t="shared" si="60"/>
        <v>5</v>
      </c>
      <c r="E413" t="s">
        <v>1334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1335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>
        <v>1</v>
      </c>
      <c r="X413" t="s">
        <v>2765</v>
      </c>
      <c r="Y413">
        <f t="shared" si="61"/>
        <v>0.2</v>
      </c>
      <c r="Z413">
        <f t="shared" si="62"/>
        <v>3334.2480000000005</v>
      </c>
      <c r="AA413">
        <f t="shared" si="63"/>
        <v>565.47800000000052</v>
      </c>
      <c r="AB413" s="7">
        <f t="shared" si="64"/>
        <v>0.16959686262089696</v>
      </c>
      <c r="AC413" t="str">
        <f t="shared" si="65"/>
        <v>August</v>
      </c>
      <c r="AD413">
        <f t="shared" si="66"/>
        <v>2025</v>
      </c>
      <c r="AE413" t="str">
        <f t="shared" si="67"/>
        <v>Clean</v>
      </c>
      <c r="AF413" t="str">
        <f t="shared" si="68"/>
        <v>Match</v>
      </c>
      <c r="AG413" t="str">
        <f t="shared" si="69"/>
        <v>Match</v>
      </c>
    </row>
    <row r="414" spans="1:33">
      <c r="A414" t="s">
        <v>1336</v>
      </c>
      <c r="B414" s="3">
        <v>45313</v>
      </c>
      <c r="C414" s="3">
        <v>45321</v>
      </c>
      <c r="D414">
        <f t="shared" si="60"/>
        <v>8</v>
      </c>
      <c r="E414" t="s">
        <v>1337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1338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>
        <v>1</v>
      </c>
      <c r="X414" t="s">
        <v>2765</v>
      </c>
      <c r="Y414">
        <f t="shared" si="61"/>
        <v>0.25</v>
      </c>
      <c r="Z414">
        <f t="shared" si="62"/>
        <v>1583.5425</v>
      </c>
      <c r="AA414">
        <f t="shared" si="63"/>
        <v>569.35249999999996</v>
      </c>
      <c r="AB414" s="7">
        <f t="shared" si="64"/>
        <v>0.35954355503562424</v>
      </c>
      <c r="AC414" t="str">
        <f t="shared" si="65"/>
        <v>January</v>
      </c>
      <c r="AD414">
        <f t="shared" si="66"/>
        <v>2024</v>
      </c>
      <c r="AE414" t="str">
        <f t="shared" si="67"/>
        <v>Clean</v>
      </c>
      <c r="AF414" t="str">
        <f t="shared" si="68"/>
        <v>Match</v>
      </c>
      <c r="AG414" t="str">
        <f t="shared" si="69"/>
        <v>Match</v>
      </c>
    </row>
    <row r="415" spans="1:33">
      <c r="A415" t="s">
        <v>1339</v>
      </c>
      <c r="B415" s="3">
        <v>45882</v>
      </c>
      <c r="C415" s="3">
        <v>45886</v>
      </c>
      <c r="D415">
        <f t="shared" si="60"/>
        <v>4</v>
      </c>
      <c r="E415" t="s">
        <v>1340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1341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>
        <v>1</v>
      </c>
      <c r="X415" t="s">
        <v>2765</v>
      </c>
      <c r="Y415">
        <f t="shared" si="61"/>
        <v>0</v>
      </c>
      <c r="Z415">
        <f t="shared" si="62"/>
        <v>15345.84</v>
      </c>
      <c r="AA415">
        <f t="shared" si="63"/>
        <v>4610.51</v>
      </c>
      <c r="AB415" s="7">
        <f t="shared" si="64"/>
        <v>0.30044037993358463</v>
      </c>
      <c r="AC415" t="str">
        <f t="shared" si="65"/>
        <v>August</v>
      </c>
      <c r="AD415">
        <f t="shared" si="66"/>
        <v>2025</v>
      </c>
      <c r="AE415" t="str">
        <f t="shared" si="67"/>
        <v>Clean</v>
      </c>
      <c r="AF415" t="str">
        <f t="shared" si="68"/>
        <v>Match</v>
      </c>
      <c r="AG415" t="str">
        <f t="shared" si="69"/>
        <v>Match</v>
      </c>
    </row>
    <row r="416" spans="1:33">
      <c r="A416" t="s">
        <v>1342</v>
      </c>
      <c r="B416" s="3">
        <v>45533</v>
      </c>
      <c r="C416" s="3">
        <v>45534</v>
      </c>
      <c r="D416">
        <f t="shared" si="60"/>
        <v>1</v>
      </c>
      <c r="E416" t="s">
        <v>1343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1344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>
        <v>1</v>
      </c>
      <c r="X416" t="s">
        <v>2765</v>
      </c>
      <c r="Y416">
        <f t="shared" si="61"/>
        <v>0.05</v>
      </c>
      <c r="Z416">
        <f t="shared" si="62"/>
        <v>9439.503999999999</v>
      </c>
      <c r="AA416">
        <f t="shared" si="63"/>
        <v>3920.1139999999987</v>
      </c>
      <c r="AB416" s="7">
        <f t="shared" si="64"/>
        <v>0.41528813378330037</v>
      </c>
      <c r="AC416" t="str">
        <f t="shared" si="65"/>
        <v>August</v>
      </c>
      <c r="AD416">
        <f t="shared" si="66"/>
        <v>2024</v>
      </c>
      <c r="AE416" t="str">
        <f t="shared" si="67"/>
        <v>Clean</v>
      </c>
      <c r="AF416" t="str">
        <f t="shared" si="68"/>
        <v>Match</v>
      </c>
      <c r="AG416" t="str">
        <f t="shared" si="69"/>
        <v>Match</v>
      </c>
    </row>
    <row r="417" spans="1:33">
      <c r="A417" t="s">
        <v>1345</v>
      </c>
      <c r="B417" s="3">
        <v>45316</v>
      </c>
      <c r="C417" s="3">
        <v>45318</v>
      </c>
      <c r="D417">
        <f t="shared" si="60"/>
        <v>2</v>
      </c>
      <c r="E417" t="s">
        <v>1346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1347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>
        <v>1</v>
      </c>
      <c r="X417" t="s">
        <v>2765</v>
      </c>
      <c r="Y417">
        <f t="shared" si="61"/>
        <v>0.15</v>
      </c>
      <c r="Z417">
        <f t="shared" si="62"/>
        <v>10277.197</v>
      </c>
      <c r="AA417">
        <f t="shared" si="63"/>
        <v>2370.6970000000001</v>
      </c>
      <c r="AB417" s="7">
        <f t="shared" si="64"/>
        <v>0.23067544584384245</v>
      </c>
      <c r="AC417" t="str">
        <f t="shared" si="65"/>
        <v>January</v>
      </c>
      <c r="AD417">
        <f t="shared" si="66"/>
        <v>2024</v>
      </c>
      <c r="AE417" t="str">
        <f t="shared" si="67"/>
        <v>Clean</v>
      </c>
      <c r="AF417" t="str">
        <f t="shared" si="68"/>
        <v>Match</v>
      </c>
      <c r="AG417" t="str">
        <f t="shared" si="69"/>
        <v>Match</v>
      </c>
    </row>
    <row r="418" spans="1:33">
      <c r="A418" t="s">
        <v>1348</v>
      </c>
      <c r="B418" s="3">
        <v>45665</v>
      </c>
      <c r="C418" s="3">
        <v>45673</v>
      </c>
      <c r="D418">
        <f t="shared" si="60"/>
        <v>8</v>
      </c>
      <c r="E418" t="s">
        <v>1349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1350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>
        <v>1</v>
      </c>
      <c r="X418" t="s">
        <v>2765</v>
      </c>
      <c r="Y418">
        <f t="shared" si="61"/>
        <v>0.25</v>
      </c>
      <c r="Z418">
        <f t="shared" si="62"/>
        <v>3833.7000000000003</v>
      </c>
      <c r="AA418">
        <f t="shared" si="63"/>
        <v>947.35000000000036</v>
      </c>
      <c r="AB418" s="7">
        <f t="shared" si="64"/>
        <v>0.24711114589039318</v>
      </c>
      <c r="AC418" t="str">
        <f t="shared" si="65"/>
        <v>January</v>
      </c>
      <c r="AD418">
        <f t="shared" si="66"/>
        <v>2025</v>
      </c>
      <c r="AE418" t="str">
        <f t="shared" si="67"/>
        <v>Clean</v>
      </c>
      <c r="AF418" t="str">
        <f t="shared" si="68"/>
        <v>Match</v>
      </c>
      <c r="AG418" t="str">
        <f t="shared" si="69"/>
        <v>Match</v>
      </c>
    </row>
    <row r="419" spans="1:33">
      <c r="A419" t="s">
        <v>1351</v>
      </c>
      <c r="B419" s="3">
        <v>45686</v>
      </c>
      <c r="C419" s="3">
        <v>45693</v>
      </c>
      <c r="D419">
        <f t="shared" si="60"/>
        <v>7</v>
      </c>
      <c r="E419" t="s">
        <v>1352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1353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>
        <v>1</v>
      </c>
      <c r="X419" t="s">
        <v>2765</v>
      </c>
      <c r="Y419">
        <f t="shared" si="61"/>
        <v>0.2</v>
      </c>
      <c r="Z419">
        <f t="shared" si="62"/>
        <v>18542.400000000001</v>
      </c>
      <c r="AA419">
        <f t="shared" si="63"/>
        <v>7348.6500000000015</v>
      </c>
      <c r="AB419" s="7">
        <f t="shared" si="64"/>
        <v>0.39631601087237905</v>
      </c>
      <c r="AC419" t="str">
        <f t="shared" si="65"/>
        <v>January</v>
      </c>
      <c r="AD419">
        <f t="shared" si="66"/>
        <v>2025</v>
      </c>
      <c r="AE419" t="str">
        <f t="shared" si="67"/>
        <v>Clean</v>
      </c>
      <c r="AF419" t="str">
        <f t="shared" si="68"/>
        <v>Match</v>
      </c>
      <c r="AG419" t="str">
        <f t="shared" si="69"/>
        <v>Match</v>
      </c>
    </row>
    <row r="420" spans="1:33">
      <c r="A420" t="s">
        <v>1354</v>
      </c>
      <c r="B420" s="3">
        <v>45605</v>
      </c>
      <c r="C420" s="3">
        <v>45613</v>
      </c>
      <c r="D420">
        <f t="shared" si="60"/>
        <v>8</v>
      </c>
      <c r="E420" t="s">
        <v>1355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1356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>
        <v>1</v>
      </c>
      <c r="X420" t="s">
        <v>2765</v>
      </c>
      <c r="Y420">
        <f t="shared" si="61"/>
        <v>0</v>
      </c>
      <c r="Z420">
        <f t="shared" si="62"/>
        <v>21962.400000000001</v>
      </c>
      <c r="AA420">
        <f t="shared" si="63"/>
        <v>6630.4100000000017</v>
      </c>
      <c r="AB420" s="7">
        <f t="shared" si="64"/>
        <v>0.3018982442720286</v>
      </c>
      <c r="AC420" t="str">
        <f t="shared" si="65"/>
        <v>November</v>
      </c>
      <c r="AD420">
        <f t="shared" si="66"/>
        <v>2024</v>
      </c>
      <c r="AE420" t="str">
        <f t="shared" si="67"/>
        <v>Clean</v>
      </c>
      <c r="AF420" t="str">
        <f t="shared" si="68"/>
        <v>Match</v>
      </c>
      <c r="AG420" t="str">
        <f t="shared" si="69"/>
        <v>Match</v>
      </c>
    </row>
    <row r="421" spans="1:33">
      <c r="A421" t="s">
        <v>1357</v>
      </c>
      <c r="B421" s="3">
        <v>45926</v>
      </c>
      <c r="C421" s="3">
        <v>45930</v>
      </c>
      <c r="D421">
        <f t="shared" si="60"/>
        <v>4</v>
      </c>
      <c r="E421" t="s">
        <v>1358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1359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>
        <v>1</v>
      </c>
      <c r="X421" t="s">
        <v>2765</v>
      </c>
      <c r="Y421">
        <f t="shared" si="61"/>
        <v>0.05</v>
      </c>
      <c r="Z421">
        <f t="shared" si="62"/>
        <v>1308.777</v>
      </c>
      <c r="AA421">
        <f t="shared" si="63"/>
        <v>465.77700000000004</v>
      </c>
      <c r="AB421" s="7">
        <f t="shared" si="64"/>
        <v>0.35588721378813964</v>
      </c>
      <c r="AC421" t="str">
        <f t="shared" si="65"/>
        <v>September</v>
      </c>
      <c r="AD421">
        <f t="shared" si="66"/>
        <v>2025</v>
      </c>
      <c r="AE421" t="str">
        <f t="shared" si="67"/>
        <v>Clean</v>
      </c>
      <c r="AF421" t="str">
        <f t="shared" si="68"/>
        <v>Match</v>
      </c>
      <c r="AG421" t="str">
        <f t="shared" si="69"/>
        <v>Match</v>
      </c>
    </row>
    <row r="422" spans="1:33">
      <c r="A422" t="s">
        <v>1360</v>
      </c>
      <c r="B422" s="3">
        <v>45734</v>
      </c>
      <c r="C422" s="3">
        <v>45735</v>
      </c>
      <c r="D422">
        <f t="shared" si="60"/>
        <v>1</v>
      </c>
      <c r="E422" t="s">
        <v>1361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1362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>
        <v>1</v>
      </c>
      <c r="X422" t="s">
        <v>2765</v>
      </c>
      <c r="Y422">
        <f t="shared" si="61"/>
        <v>0.25</v>
      </c>
      <c r="Z422">
        <f t="shared" si="62"/>
        <v>1814.9850000000001</v>
      </c>
      <c r="AA422">
        <f t="shared" si="63"/>
        <v>694.92500000000018</v>
      </c>
      <c r="AB422" s="7">
        <f t="shared" si="64"/>
        <v>0.38288195219244242</v>
      </c>
      <c r="AC422" t="str">
        <f t="shared" si="65"/>
        <v>March</v>
      </c>
      <c r="AD422">
        <f t="shared" si="66"/>
        <v>2025</v>
      </c>
      <c r="AE422" t="str">
        <f t="shared" si="67"/>
        <v>Clean</v>
      </c>
      <c r="AF422" t="str">
        <f t="shared" si="68"/>
        <v>Match</v>
      </c>
      <c r="AG422" t="str">
        <f t="shared" si="69"/>
        <v>Match</v>
      </c>
    </row>
    <row r="423" spans="1:33">
      <c r="A423" t="s">
        <v>1363</v>
      </c>
      <c r="B423" s="3">
        <v>45822</v>
      </c>
      <c r="C423" s="3">
        <v>45827</v>
      </c>
      <c r="D423">
        <f t="shared" si="60"/>
        <v>5</v>
      </c>
      <c r="E423" t="s">
        <v>1364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1365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>
        <v>1</v>
      </c>
      <c r="X423" t="s">
        <v>2765</v>
      </c>
      <c r="Y423">
        <f t="shared" si="61"/>
        <v>0.2</v>
      </c>
      <c r="Z423">
        <f t="shared" si="62"/>
        <v>2489.8800000000006</v>
      </c>
      <c r="AA423">
        <f t="shared" si="63"/>
        <v>782.36000000000058</v>
      </c>
      <c r="AB423" s="7">
        <f t="shared" si="64"/>
        <v>0.31421594615001541</v>
      </c>
      <c r="AC423" t="str">
        <f t="shared" si="65"/>
        <v>June</v>
      </c>
      <c r="AD423">
        <f t="shared" si="66"/>
        <v>2025</v>
      </c>
      <c r="AE423" t="str">
        <f t="shared" si="67"/>
        <v>Clean</v>
      </c>
      <c r="AF423" t="str">
        <f t="shared" si="68"/>
        <v>Match</v>
      </c>
      <c r="AG423" t="str">
        <f t="shared" si="69"/>
        <v>Match</v>
      </c>
    </row>
    <row r="424" spans="1:33">
      <c r="A424" t="s">
        <v>1366</v>
      </c>
      <c r="B424" s="3">
        <v>45903</v>
      </c>
      <c r="C424" s="3">
        <v>45906</v>
      </c>
      <c r="D424">
        <f t="shared" si="60"/>
        <v>3</v>
      </c>
      <c r="E424" t="s">
        <v>1367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1368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>
        <v>1</v>
      </c>
      <c r="X424" t="s">
        <v>2765</v>
      </c>
      <c r="Y424">
        <f t="shared" si="61"/>
        <v>0.15</v>
      </c>
      <c r="Z424">
        <f t="shared" si="62"/>
        <v>4098.6574999999993</v>
      </c>
      <c r="AA424">
        <f t="shared" si="63"/>
        <v>1420.5974999999994</v>
      </c>
      <c r="AB424" s="7">
        <f t="shared" si="64"/>
        <v>0.34660068571233377</v>
      </c>
      <c r="AC424" t="str">
        <f t="shared" si="65"/>
        <v>September</v>
      </c>
      <c r="AD424">
        <f t="shared" si="66"/>
        <v>2025</v>
      </c>
      <c r="AE424" t="str">
        <f t="shared" si="67"/>
        <v>Clean</v>
      </c>
      <c r="AF424" t="str">
        <f t="shared" si="68"/>
        <v>Match</v>
      </c>
      <c r="AG424" t="str">
        <f t="shared" si="69"/>
        <v>Match</v>
      </c>
    </row>
    <row r="425" spans="1:33">
      <c r="A425" t="s">
        <v>1369</v>
      </c>
      <c r="B425" s="3">
        <v>45342</v>
      </c>
      <c r="C425" s="3">
        <v>45349</v>
      </c>
      <c r="D425">
        <f t="shared" si="60"/>
        <v>7</v>
      </c>
      <c r="E425" t="s">
        <v>1370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1371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>
        <v>2</v>
      </c>
      <c r="X425" t="s">
        <v>2764</v>
      </c>
      <c r="Y425">
        <f t="shared" si="61"/>
        <v>0.2</v>
      </c>
      <c r="Z425">
        <f t="shared" si="62"/>
        <v>27211.032000000003</v>
      </c>
      <c r="AA425">
        <f t="shared" si="63"/>
        <v>9270.6020000000026</v>
      </c>
      <c r="AB425" s="7">
        <f t="shared" si="64"/>
        <v>0.34069277490100347</v>
      </c>
      <c r="AC425" t="str">
        <f t="shared" si="65"/>
        <v>February</v>
      </c>
      <c r="AD425">
        <f t="shared" si="66"/>
        <v>2024</v>
      </c>
      <c r="AE425" t="str">
        <f t="shared" si="67"/>
        <v>Warning</v>
      </c>
      <c r="AF425" t="str">
        <f t="shared" si="68"/>
        <v>Match</v>
      </c>
      <c r="AG425" t="str">
        <f t="shared" si="69"/>
        <v>Match</v>
      </c>
    </row>
    <row r="426" spans="1:33">
      <c r="A426" t="s">
        <v>1372</v>
      </c>
      <c r="B426" s="3">
        <v>45469</v>
      </c>
      <c r="C426" s="3">
        <v>45472</v>
      </c>
      <c r="D426">
        <f t="shared" si="60"/>
        <v>3</v>
      </c>
      <c r="E426" t="s">
        <v>1373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1374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>
        <v>1</v>
      </c>
      <c r="X426" t="s">
        <v>2765</v>
      </c>
      <c r="Y426">
        <f t="shared" si="61"/>
        <v>0</v>
      </c>
      <c r="Z426">
        <f t="shared" si="62"/>
        <v>6436.16</v>
      </c>
      <c r="AA426">
        <f t="shared" si="63"/>
        <v>2172.33</v>
      </c>
      <c r="AB426" s="7">
        <f t="shared" si="64"/>
        <v>0.33751957689056827</v>
      </c>
      <c r="AC426" t="str">
        <f t="shared" si="65"/>
        <v>June</v>
      </c>
      <c r="AD426">
        <f t="shared" si="66"/>
        <v>2024</v>
      </c>
      <c r="AE426" t="str">
        <f t="shared" si="67"/>
        <v>Clean</v>
      </c>
      <c r="AF426" t="str">
        <f t="shared" si="68"/>
        <v>Match</v>
      </c>
      <c r="AG426" t="str">
        <f t="shared" si="69"/>
        <v>Match</v>
      </c>
    </row>
    <row r="427" spans="1:33">
      <c r="A427" t="s">
        <v>1375</v>
      </c>
      <c r="B427" s="3">
        <v>45561</v>
      </c>
      <c r="C427" s="3">
        <v>45562</v>
      </c>
      <c r="D427">
        <f t="shared" si="60"/>
        <v>1</v>
      </c>
      <c r="E427" t="s">
        <v>1376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1377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>
        <v>1</v>
      </c>
      <c r="X427" t="s">
        <v>2765</v>
      </c>
      <c r="Y427">
        <f t="shared" si="61"/>
        <v>0.1</v>
      </c>
      <c r="Z427">
        <f t="shared" si="62"/>
        <v>1918.2420000000002</v>
      </c>
      <c r="AA427">
        <f t="shared" si="63"/>
        <v>544.72200000000021</v>
      </c>
      <c r="AB427" s="7">
        <f t="shared" si="64"/>
        <v>0.2839693844676533</v>
      </c>
      <c r="AC427" t="str">
        <f t="shared" si="65"/>
        <v>September</v>
      </c>
      <c r="AD427">
        <f t="shared" si="66"/>
        <v>2024</v>
      </c>
      <c r="AE427" t="str">
        <f t="shared" si="67"/>
        <v>Clean</v>
      </c>
      <c r="AF427" t="str">
        <f t="shared" si="68"/>
        <v>Match</v>
      </c>
      <c r="AG427" t="str">
        <f t="shared" si="69"/>
        <v>Match</v>
      </c>
    </row>
    <row r="428" spans="1:33">
      <c r="A428" t="s">
        <v>1378</v>
      </c>
      <c r="B428" s="3">
        <v>45473</v>
      </c>
      <c r="C428" s="3">
        <v>45474</v>
      </c>
      <c r="D428">
        <f t="shared" si="60"/>
        <v>1</v>
      </c>
      <c r="E428" t="s">
        <v>1379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1380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>
        <v>1</v>
      </c>
      <c r="X428" t="s">
        <v>2765</v>
      </c>
      <c r="Y428">
        <f t="shared" si="61"/>
        <v>0.1</v>
      </c>
      <c r="Z428">
        <f t="shared" si="62"/>
        <v>27047.952000000001</v>
      </c>
      <c r="AA428">
        <f t="shared" si="63"/>
        <v>8616.6219999999994</v>
      </c>
      <c r="AB428" s="7">
        <f t="shared" si="64"/>
        <v>0.31856837072174626</v>
      </c>
      <c r="AC428" t="str">
        <f t="shared" si="65"/>
        <v>June</v>
      </c>
      <c r="AD428">
        <f t="shared" si="66"/>
        <v>2024</v>
      </c>
      <c r="AE428" t="str">
        <f t="shared" si="67"/>
        <v>Clean</v>
      </c>
      <c r="AF428" t="str">
        <f t="shared" si="68"/>
        <v>Match</v>
      </c>
      <c r="AG428" t="str">
        <f t="shared" si="69"/>
        <v>Match</v>
      </c>
    </row>
    <row r="429" spans="1:33">
      <c r="A429" t="s">
        <v>1381</v>
      </c>
      <c r="B429" s="3">
        <v>45769</v>
      </c>
      <c r="C429" s="3">
        <v>45771</v>
      </c>
      <c r="D429">
        <f t="shared" si="60"/>
        <v>2</v>
      </c>
      <c r="E429" t="s">
        <v>1382</v>
      </c>
      <c r="F429" t="s">
        <v>47</v>
      </c>
      <c r="G429" t="s">
        <v>90</v>
      </c>
      <c r="H429" t="s">
        <v>2760</v>
      </c>
      <c r="I429" t="s">
        <v>228</v>
      </c>
      <c r="J429" t="s">
        <v>229</v>
      </c>
      <c r="K429" t="s">
        <v>74</v>
      </c>
      <c r="L429" t="s">
        <v>75</v>
      </c>
      <c r="M429" t="s">
        <v>1383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>
        <v>1</v>
      </c>
      <c r="X429" t="s">
        <v>2765</v>
      </c>
      <c r="Y429">
        <f t="shared" si="61"/>
        <v>0</v>
      </c>
      <c r="Z429">
        <f t="shared" si="62"/>
        <v>26454.959999999999</v>
      </c>
      <c r="AA429">
        <f t="shared" si="63"/>
        <v>8824.7099999999991</v>
      </c>
      <c r="AB429" s="7">
        <f t="shared" si="64"/>
        <v>0.33357487594008833</v>
      </c>
      <c r="AC429" t="str">
        <f t="shared" si="65"/>
        <v>April</v>
      </c>
      <c r="AD429">
        <f t="shared" si="66"/>
        <v>2025</v>
      </c>
      <c r="AE429" t="str">
        <f t="shared" si="67"/>
        <v>Clean</v>
      </c>
      <c r="AF429" t="str">
        <f t="shared" si="68"/>
        <v>Match</v>
      </c>
      <c r="AG429" t="str">
        <f t="shared" si="69"/>
        <v>Match</v>
      </c>
    </row>
    <row r="430" spans="1:33">
      <c r="A430" t="s">
        <v>1384</v>
      </c>
      <c r="B430" s="3">
        <v>45731</v>
      </c>
      <c r="C430" s="3">
        <v>45738</v>
      </c>
      <c r="D430">
        <f t="shared" si="60"/>
        <v>7</v>
      </c>
      <c r="E430" t="s">
        <v>1385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1386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>
        <v>1</v>
      </c>
      <c r="X430" t="s">
        <v>2765</v>
      </c>
      <c r="Y430">
        <f t="shared" si="61"/>
        <v>0.25</v>
      </c>
      <c r="Z430">
        <f t="shared" si="62"/>
        <v>1853.895</v>
      </c>
      <c r="AA430">
        <f t="shared" si="63"/>
        <v>752.66499999999996</v>
      </c>
      <c r="AB430" s="7">
        <f t="shared" si="64"/>
        <v>0.40599116994220275</v>
      </c>
      <c r="AC430" t="str">
        <f t="shared" si="65"/>
        <v>March</v>
      </c>
      <c r="AD430">
        <f t="shared" si="66"/>
        <v>2025</v>
      </c>
      <c r="AE430" t="str">
        <f t="shared" si="67"/>
        <v>Clean</v>
      </c>
      <c r="AF430" t="str">
        <f t="shared" si="68"/>
        <v>Match</v>
      </c>
      <c r="AG430" t="str">
        <f t="shared" si="69"/>
        <v>Match</v>
      </c>
    </row>
    <row r="431" spans="1:33">
      <c r="A431" t="s">
        <v>1387</v>
      </c>
      <c r="B431" s="3">
        <v>45717</v>
      </c>
      <c r="C431" s="3">
        <v>45724</v>
      </c>
      <c r="D431">
        <f t="shared" si="60"/>
        <v>7</v>
      </c>
      <c r="E431" t="s">
        <v>1388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1389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>
        <v>1</v>
      </c>
      <c r="X431" t="s">
        <v>2765</v>
      </c>
      <c r="Y431">
        <f t="shared" si="61"/>
        <v>0.25</v>
      </c>
      <c r="Z431">
        <f t="shared" si="62"/>
        <v>17658.599999999999</v>
      </c>
      <c r="AA431">
        <f t="shared" si="63"/>
        <v>3816.119999999999</v>
      </c>
      <c r="AB431" s="7">
        <f t="shared" si="64"/>
        <v>0.2161054670245659</v>
      </c>
      <c r="AC431" t="str">
        <f t="shared" si="65"/>
        <v>March</v>
      </c>
      <c r="AD431">
        <f t="shared" si="66"/>
        <v>2025</v>
      </c>
      <c r="AE431" t="str">
        <f t="shared" si="67"/>
        <v>Clean</v>
      </c>
      <c r="AF431" t="str">
        <f t="shared" si="68"/>
        <v>Match</v>
      </c>
      <c r="AG431" t="str">
        <f t="shared" si="69"/>
        <v>Match</v>
      </c>
    </row>
    <row r="432" spans="1:33">
      <c r="A432" t="s">
        <v>1390</v>
      </c>
      <c r="B432" s="3">
        <v>45534</v>
      </c>
      <c r="C432" s="3">
        <v>45537</v>
      </c>
      <c r="D432">
        <f t="shared" si="60"/>
        <v>3</v>
      </c>
      <c r="E432" t="s">
        <v>1391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1392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>
        <v>1</v>
      </c>
      <c r="X432" t="s">
        <v>2765</v>
      </c>
      <c r="Y432">
        <f t="shared" si="61"/>
        <v>0.15</v>
      </c>
      <c r="Z432">
        <f t="shared" si="62"/>
        <v>3672.7139999999999</v>
      </c>
      <c r="AA432">
        <f t="shared" si="63"/>
        <v>958.48399999999992</v>
      </c>
      <c r="AB432" s="7">
        <f t="shared" si="64"/>
        <v>0.26097430946161337</v>
      </c>
      <c r="AC432" t="str">
        <f t="shared" si="65"/>
        <v>August</v>
      </c>
      <c r="AD432">
        <f t="shared" si="66"/>
        <v>2024</v>
      </c>
      <c r="AE432" t="str">
        <f t="shared" si="67"/>
        <v>Clean</v>
      </c>
      <c r="AF432" t="str">
        <f t="shared" si="68"/>
        <v>Match</v>
      </c>
      <c r="AG432" t="str">
        <f t="shared" si="69"/>
        <v>Mismatch</v>
      </c>
    </row>
    <row r="433" spans="1:33">
      <c r="A433" t="s">
        <v>1393</v>
      </c>
      <c r="B433" s="3">
        <v>45332</v>
      </c>
      <c r="C433" s="3">
        <v>45335</v>
      </c>
      <c r="D433">
        <f t="shared" si="60"/>
        <v>3</v>
      </c>
      <c r="E433" t="s">
        <v>1394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1395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>
        <v>1</v>
      </c>
      <c r="X433" t="s">
        <v>2765</v>
      </c>
      <c r="Y433">
        <f t="shared" si="61"/>
        <v>0.25</v>
      </c>
      <c r="Z433">
        <f t="shared" si="62"/>
        <v>6177.6749999999993</v>
      </c>
      <c r="AA433">
        <f t="shared" si="63"/>
        <v>1656.9249999999993</v>
      </c>
      <c r="AB433" s="7">
        <f t="shared" si="64"/>
        <v>0.26821174632851347</v>
      </c>
      <c r="AC433" t="str">
        <f t="shared" si="65"/>
        <v>February</v>
      </c>
      <c r="AD433">
        <f t="shared" si="66"/>
        <v>2024</v>
      </c>
      <c r="AE433" t="str">
        <f t="shared" si="67"/>
        <v>Clean</v>
      </c>
      <c r="AF433" t="str">
        <f t="shared" si="68"/>
        <v>Match</v>
      </c>
      <c r="AG433" t="str">
        <f t="shared" si="69"/>
        <v>Match</v>
      </c>
    </row>
    <row r="434" spans="1:33">
      <c r="A434" t="s">
        <v>1396</v>
      </c>
      <c r="B434" s="3">
        <v>45533</v>
      </c>
      <c r="C434" s="3">
        <v>45537</v>
      </c>
      <c r="D434">
        <f t="shared" si="60"/>
        <v>4</v>
      </c>
      <c r="E434" t="s">
        <v>1397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1398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>
        <v>1</v>
      </c>
      <c r="X434" t="s">
        <v>2765</v>
      </c>
      <c r="Y434">
        <f t="shared" si="61"/>
        <v>0.05</v>
      </c>
      <c r="Z434">
        <f t="shared" si="62"/>
        <v>985.07400000000007</v>
      </c>
      <c r="AA434">
        <f t="shared" si="63"/>
        <v>140.59400000000005</v>
      </c>
      <c r="AB434" s="7">
        <f t="shared" si="64"/>
        <v>0.14272430294576857</v>
      </c>
      <c r="AC434" t="str">
        <f t="shared" si="65"/>
        <v>August</v>
      </c>
      <c r="AD434">
        <f t="shared" si="66"/>
        <v>2024</v>
      </c>
      <c r="AE434" t="str">
        <f t="shared" si="67"/>
        <v>Clean</v>
      </c>
      <c r="AF434" t="str">
        <f t="shared" si="68"/>
        <v>Match</v>
      </c>
      <c r="AG434" t="str">
        <f t="shared" si="69"/>
        <v>Match</v>
      </c>
    </row>
    <row r="435" spans="1:33">
      <c r="A435" t="s">
        <v>1399</v>
      </c>
      <c r="B435" s="3">
        <v>45401</v>
      </c>
      <c r="C435" s="3">
        <v>45402</v>
      </c>
      <c r="D435">
        <f t="shared" si="60"/>
        <v>1</v>
      </c>
      <c r="E435" t="s">
        <v>1400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1401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>
        <v>1</v>
      </c>
      <c r="X435" t="s">
        <v>2765</v>
      </c>
      <c r="Y435">
        <f t="shared" si="61"/>
        <v>0</v>
      </c>
      <c r="Z435">
        <f t="shared" si="62"/>
        <v>6160.88</v>
      </c>
      <c r="AA435">
        <f t="shared" si="63"/>
        <v>1222.1800000000003</v>
      </c>
      <c r="AB435" s="7">
        <f t="shared" si="64"/>
        <v>0.19837750451234243</v>
      </c>
      <c r="AC435" t="str">
        <f t="shared" si="65"/>
        <v>April</v>
      </c>
      <c r="AD435">
        <f t="shared" si="66"/>
        <v>2024</v>
      </c>
      <c r="AE435" t="str">
        <f t="shared" si="67"/>
        <v>Clean</v>
      </c>
      <c r="AF435" t="str">
        <f t="shared" si="68"/>
        <v>Match</v>
      </c>
      <c r="AG435" t="str">
        <f t="shared" si="69"/>
        <v>Match</v>
      </c>
    </row>
    <row r="436" spans="1:33">
      <c r="A436" t="s">
        <v>1402</v>
      </c>
      <c r="B436" s="3">
        <v>45758</v>
      </c>
      <c r="C436" s="3">
        <v>45762</v>
      </c>
      <c r="D436">
        <f t="shared" si="60"/>
        <v>4</v>
      </c>
      <c r="E436" t="s">
        <v>1403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1404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>
        <v>1</v>
      </c>
      <c r="X436" t="s">
        <v>2765</v>
      </c>
      <c r="Y436">
        <f t="shared" si="61"/>
        <v>0</v>
      </c>
      <c r="Z436">
        <f t="shared" si="62"/>
        <v>3263.8999999999996</v>
      </c>
      <c r="AA436">
        <f t="shared" si="63"/>
        <v>1195.4599999999996</v>
      </c>
      <c r="AB436" s="7">
        <f t="shared" si="64"/>
        <v>0.3662673488771101</v>
      </c>
      <c r="AC436" t="str">
        <f t="shared" si="65"/>
        <v>April</v>
      </c>
      <c r="AD436">
        <f t="shared" si="66"/>
        <v>2025</v>
      </c>
      <c r="AE436" t="str">
        <f t="shared" si="67"/>
        <v>Clean</v>
      </c>
      <c r="AF436" t="str">
        <f t="shared" si="68"/>
        <v>Match</v>
      </c>
      <c r="AG436" t="str">
        <f t="shared" si="69"/>
        <v>Match</v>
      </c>
    </row>
    <row r="437" spans="1:33">
      <c r="A437" t="s">
        <v>1405</v>
      </c>
      <c r="B437" s="3">
        <v>45759</v>
      </c>
      <c r="C437" s="3">
        <v>45767</v>
      </c>
      <c r="D437">
        <f t="shared" si="60"/>
        <v>8</v>
      </c>
      <c r="E437" t="s">
        <v>1406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1407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>
        <v>1</v>
      </c>
      <c r="X437" t="s">
        <v>2765</v>
      </c>
      <c r="Y437">
        <f t="shared" si="61"/>
        <v>0.15</v>
      </c>
      <c r="Z437">
        <f t="shared" si="62"/>
        <v>2327.0535</v>
      </c>
      <c r="AA437">
        <f t="shared" si="63"/>
        <v>407.63349999999991</v>
      </c>
      <c r="AB437" s="7">
        <f t="shared" si="64"/>
        <v>0.17517152055163318</v>
      </c>
      <c r="AC437" t="str">
        <f t="shared" si="65"/>
        <v>April</v>
      </c>
      <c r="AD437">
        <f t="shared" si="66"/>
        <v>2025</v>
      </c>
      <c r="AE437" t="str">
        <f t="shared" si="67"/>
        <v>Clean</v>
      </c>
      <c r="AF437" t="str">
        <f t="shared" si="68"/>
        <v>Match</v>
      </c>
      <c r="AG437" t="str">
        <f t="shared" si="69"/>
        <v>Match</v>
      </c>
    </row>
    <row r="438" spans="1:33">
      <c r="A438" t="s">
        <v>1408</v>
      </c>
      <c r="B438" s="3">
        <v>45459</v>
      </c>
      <c r="C438" s="3">
        <v>45464</v>
      </c>
      <c r="D438">
        <f t="shared" si="60"/>
        <v>5</v>
      </c>
      <c r="E438" t="s">
        <v>1409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1410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>
        <v>1</v>
      </c>
      <c r="X438" t="s">
        <v>2765</v>
      </c>
      <c r="Y438">
        <f t="shared" si="61"/>
        <v>0.05</v>
      </c>
      <c r="Z438">
        <f t="shared" si="62"/>
        <v>6593.6459999999997</v>
      </c>
      <c r="AA438">
        <f t="shared" si="63"/>
        <v>2234.2559999999994</v>
      </c>
      <c r="AB438" s="7">
        <f t="shared" si="64"/>
        <v>0.33884985636171544</v>
      </c>
      <c r="AC438" t="str">
        <f t="shared" si="65"/>
        <v>June</v>
      </c>
      <c r="AD438">
        <f t="shared" si="66"/>
        <v>2024</v>
      </c>
      <c r="AE438" t="str">
        <f t="shared" si="67"/>
        <v>Clean</v>
      </c>
      <c r="AF438" t="str">
        <f t="shared" si="68"/>
        <v>Match</v>
      </c>
      <c r="AG438" t="str">
        <f t="shared" si="69"/>
        <v>Match</v>
      </c>
    </row>
    <row r="439" spans="1:33">
      <c r="A439" t="s">
        <v>1411</v>
      </c>
      <c r="B439" s="3">
        <v>45337</v>
      </c>
      <c r="C439" s="3">
        <v>45340</v>
      </c>
      <c r="D439">
        <f t="shared" si="60"/>
        <v>3</v>
      </c>
      <c r="E439" t="s">
        <v>1412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1413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>
        <v>1</v>
      </c>
      <c r="X439" t="s">
        <v>2765</v>
      </c>
      <c r="Y439">
        <f t="shared" si="61"/>
        <v>0.05</v>
      </c>
      <c r="Z439">
        <f t="shared" si="62"/>
        <v>2886.6319999999996</v>
      </c>
      <c r="AA439">
        <f t="shared" si="63"/>
        <v>1298.4019999999996</v>
      </c>
      <c r="AB439" s="7">
        <f t="shared" si="64"/>
        <v>0.44979824238073984</v>
      </c>
      <c r="AC439" t="str">
        <f t="shared" si="65"/>
        <v>February</v>
      </c>
      <c r="AD439">
        <f t="shared" si="66"/>
        <v>2024</v>
      </c>
      <c r="AE439" t="str">
        <f t="shared" si="67"/>
        <v>Clean</v>
      </c>
      <c r="AF439" t="str">
        <f t="shared" si="68"/>
        <v>Match</v>
      </c>
      <c r="AG439" t="str">
        <f t="shared" si="69"/>
        <v>Match</v>
      </c>
    </row>
    <row r="440" spans="1:33">
      <c r="A440" t="s">
        <v>1414</v>
      </c>
      <c r="B440" s="3">
        <v>45784</v>
      </c>
      <c r="C440" s="3">
        <v>45782</v>
      </c>
      <c r="D440">
        <f t="shared" si="60"/>
        <v>-2</v>
      </c>
      <c r="E440" t="s">
        <v>1415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1416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>
        <v>1</v>
      </c>
      <c r="X440" t="s">
        <v>2765</v>
      </c>
      <c r="Y440">
        <f t="shared" si="61"/>
        <v>0.2</v>
      </c>
      <c r="Z440">
        <f t="shared" si="62"/>
        <v>1813.1759999999999</v>
      </c>
      <c r="AA440">
        <f t="shared" si="63"/>
        <v>449.53599999999983</v>
      </c>
      <c r="AB440" s="7">
        <f t="shared" si="64"/>
        <v>0.24792739370033567</v>
      </c>
      <c r="AC440" t="str">
        <f t="shared" si="65"/>
        <v>May</v>
      </c>
      <c r="AD440">
        <f t="shared" si="66"/>
        <v>2025</v>
      </c>
      <c r="AE440" t="str">
        <f t="shared" si="67"/>
        <v>Invalid</v>
      </c>
      <c r="AF440" t="str">
        <f t="shared" si="68"/>
        <v>Match</v>
      </c>
      <c r="AG440" t="str">
        <f t="shared" si="69"/>
        <v>Match</v>
      </c>
    </row>
    <row r="441" spans="1:33">
      <c r="A441" t="s">
        <v>1417</v>
      </c>
      <c r="B441" s="3">
        <v>45838</v>
      </c>
      <c r="C441" s="3">
        <v>45841</v>
      </c>
      <c r="D441">
        <f t="shared" si="60"/>
        <v>3</v>
      </c>
      <c r="E441" t="s">
        <v>1418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1419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>
        <v>1</v>
      </c>
      <c r="X441" t="s">
        <v>2765</v>
      </c>
      <c r="Y441">
        <f t="shared" si="61"/>
        <v>0</v>
      </c>
      <c r="Z441">
        <f t="shared" si="62"/>
        <v>3326.25</v>
      </c>
      <c r="AA441">
        <f t="shared" si="63"/>
        <v>636.88999999999987</v>
      </c>
      <c r="AB441" s="7">
        <f t="shared" si="64"/>
        <v>0.19147388199924836</v>
      </c>
      <c r="AC441" t="str">
        <f t="shared" si="65"/>
        <v>June</v>
      </c>
      <c r="AD441">
        <f t="shared" si="66"/>
        <v>2025</v>
      </c>
      <c r="AE441" t="str">
        <f t="shared" si="67"/>
        <v>Clean</v>
      </c>
      <c r="AF441" t="str">
        <f t="shared" si="68"/>
        <v>Match</v>
      </c>
      <c r="AG441" t="str">
        <f t="shared" si="69"/>
        <v>Match</v>
      </c>
    </row>
    <row r="442" spans="1:33">
      <c r="A442" t="s">
        <v>1420</v>
      </c>
      <c r="B442" s="3">
        <v>45384</v>
      </c>
      <c r="C442" s="3">
        <v>45390</v>
      </c>
      <c r="D442">
        <f t="shared" si="60"/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1421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>
        <v>1</v>
      </c>
      <c r="X442" t="s">
        <v>2765</v>
      </c>
      <c r="Y442">
        <f t="shared" si="61"/>
        <v>0.2</v>
      </c>
      <c r="Z442">
        <f t="shared" si="62"/>
        <v>17869.632000000001</v>
      </c>
      <c r="AA442">
        <f t="shared" si="63"/>
        <v>5705.8320000000022</v>
      </c>
      <c r="AB442" s="7">
        <f t="shared" si="64"/>
        <v>0.31930327384469931</v>
      </c>
      <c r="AC442" t="str">
        <f t="shared" si="65"/>
        <v>April</v>
      </c>
      <c r="AD442">
        <f t="shared" si="66"/>
        <v>2024</v>
      </c>
      <c r="AE442" t="str">
        <f t="shared" si="67"/>
        <v>Clean</v>
      </c>
      <c r="AF442" t="str">
        <f t="shared" si="68"/>
        <v>Match</v>
      </c>
      <c r="AG442" t="str">
        <f t="shared" si="69"/>
        <v>Match</v>
      </c>
    </row>
    <row r="443" spans="1:33">
      <c r="A443" t="s">
        <v>1422</v>
      </c>
      <c r="B443" s="3">
        <v>45568</v>
      </c>
      <c r="C443" s="3">
        <v>45568</v>
      </c>
      <c r="D443">
        <f t="shared" si="60"/>
        <v>0</v>
      </c>
      <c r="E443" t="s">
        <v>1423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1424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>
        <v>1</v>
      </c>
      <c r="X443" t="s">
        <v>2765</v>
      </c>
      <c r="Y443">
        <f t="shared" si="61"/>
        <v>0</v>
      </c>
      <c r="Z443">
        <f t="shared" si="62"/>
        <v>25304.94</v>
      </c>
      <c r="AA443">
        <f t="shared" si="63"/>
        <v>4532.989999999998</v>
      </c>
      <c r="AB443" s="7">
        <f t="shared" si="64"/>
        <v>0.17913458795002077</v>
      </c>
      <c r="AC443" t="str">
        <f t="shared" si="65"/>
        <v>October</v>
      </c>
      <c r="AD443">
        <f t="shared" si="66"/>
        <v>2024</v>
      </c>
      <c r="AE443" t="str">
        <f t="shared" si="67"/>
        <v>Clean</v>
      </c>
      <c r="AF443" t="str">
        <f t="shared" si="68"/>
        <v>Match</v>
      </c>
      <c r="AG443" t="str">
        <f t="shared" si="69"/>
        <v>Match</v>
      </c>
    </row>
    <row r="444" spans="1:33">
      <c r="A444" t="s">
        <v>1425</v>
      </c>
      <c r="B444" s="3">
        <v>45669</v>
      </c>
      <c r="C444" s="3">
        <v>45676</v>
      </c>
      <c r="D444">
        <f t="shared" si="60"/>
        <v>7</v>
      </c>
      <c r="E444" t="s">
        <v>1426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1427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>
        <v>1</v>
      </c>
      <c r="X444" t="s">
        <v>2765</v>
      </c>
      <c r="Y444">
        <f t="shared" si="61"/>
        <v>0</v>
      </c>
      <c r="Z444">
        <f t="shared" si="62"/>
        <v>1842.31</v>
      </c>
      <c r="AA444">
        <f t="shared" si="63"/>
        <v>823.14</v>
      </c>
      <c r="AB444" s="7">
        <f t="shared" si="64"/>
        <v>0.44679777019068451</v>
      </c>
      <c r="AC444" t="str">
        <f t="shared" si="65"/>
        <v>January</v>
      </c>
      <c r="AD444">
        <f t="shared" si="66"/>
        <v>2025</v>
      </c>
      <c r="AE444" t="str">
        <f t="shared" si="67"/>
        <v>Clean</v>
      </c>
      <c r="AF444" t="str">
        <f t="shared" si="68"/>
        <v>Match</v>
      </c>
      <c r="AG444" t="str">
        <f t="shared" si="69"/>
        <v>Match</v>
      </c>
    </row>
    <row r="445" spans="1:33">
      <c r="A445" t="s">
        <v>1428</v>
      </c>
      <c r="B445" s="3">
        <v>45386</v>
      </c>
      <c r="C445" s="3">
        <v>45389</v>
      </c>
      <c r="D445">
        <f t="shared" si="60"/>
        <v>3</v>
      </c>
      <c r="E445" t="s">
        <v>1429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1430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>
        <v>1</v>
      </c>
      <c r="X445" t="s">
        <v>2765</v>
      </c>
      <c r="Y445">
        <f t="shared" si="61"/>
        <v>0.1</v>
      </c>
      <c r="Z445">
        <f t="shared" si="62"/>
        <v>3315.375</v>
      </c>
      <c r="AA445">
        <f t="shared" si="63"/>
        <v>967.69500000000016</v>
      </c>
      <c r="AB445" s="7">
        <f t="shared" si="64"/>
        <v>0.29188100893564084</v>
      </c>
      <c r="AC445" t="str">
        <f t="shared" si="65"/>
        <v>April</v>
      </c>
      <c r="AD445">
        <f t="shared" si="66"/>
        <v>2024</v>
      </c>
      <c r="AE445" t="str">
        <f t="shared" si="67"/>
        <v>Clean</v>
      </c>
      <c r="AF445" t="str">
        <f t="shared" si="68"/>
        <v>Match</v>
      </c>
      <c r="AG445" t="str">
        <f t="shared" si="69"/>
        <v>Match</v>
      </c>
    </row>
    <row r="446" spans="1:33">
      <c r="A446" t="s">
        <v>1431</v>
      </c>
      <c r="B446" s="3">
        <v>45881</v>
      </c>
      <c r="C446" s="3">
        <v>45885</v>
      </c>
      <c r="D446">
        <f t="shared" si="60"/>
        <v>4</v>
      </c>
      <c r="E446" t="s">
        <v>1432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1433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>
        <v>1</v>
      </c>
      <c r="X446" t="s">
        <v>2765</v>
      </c>
      <c r="Y446">
        <f t="shared" si="61"/>
        <v>0.05</v>
      </c>
      <c r="Z446">
        <f t="shared" si="62"/>
        <v>20342.501999999997</v>
      </c>
      <c r="AA446">
        <f t="shared" si="63"/>
        <v>7934.9919999999966</v>
      </c>
      <c r="AB446" s="7">
        <f t="shared" si="64"/>
        <v>0.39006961877157481</v>
      </c>
      <c r="AC446" t="str">
        <f t="shared" si="65"/>
        <v>August</v>
      </c>
      <c r="AD446">
        <f t="shared" si="66"/>
        <v>2025</v>
      </c>
      <c r="AE446" t="str">
        <f t="shared" si="67"/>
        <v>Clean</v>
      </c>
      <c r="AF446" t="str">
        <f t="shared" si="68"/>
        <v>Match</v>
      </c>
      <c r="AG446" t="str">
        <f t="shared" si="69"/>
        <v>Match</v>
      </c>
    </row>
    <row r="447" spans="1:33">
      <c r="A447" t="s">
        <v>1434</v>
      </c>
      <c r="B447" s="3">
        <v>45421</v>
      </c>
      <c r="C447" s="3">
        <v>45417</v>
      </c>
      <c r="D447">
        <f t="shared" si="60"/>
        <v>-4</v>
      </c>
      <c r="E447" t="s">
        <v>1435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1436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>
        <v>1</v>
      </c>
      <c r="X447" t="s">
        <v>2765</v>
      </c>
      <c r="Y447">
        <f t="shared" si="61"/>
        <v>0.2</v>
      </c>
      <c r="Z447">
        <f t="shared" si="62"/>
        <v>3377.9680000000003</v>
      </c>
      <c r="AA447">
        <f t="shared" si="63"/>
        <v>881.67800000000034</v>
      </c>
      <c r="AB447" s="7">
        <f t="shared" si="64"/>
        <v>0.26100839321154029</v>
      </c>
      <c r="AC447" t="str">
        <f t="shared" si="65"/>
        <v>May</v>
      </c>
      <c r="AD447">
        <f t="shared" si="66"/>
        <v>2024</v>
      </c>
      <c r="AE447" t="str">
        <f t="shared" si="67"/>
        <v>Invalid</v>
      </c>
      <c r="AF447" t="str">
        <f t="shared" si="68"/>
        <v>Match</v>
      </c>
      <c r="AG447" t="str">
        <f t="shared" si="69"/>
        <v>Match</v>
      </c>
    </row>
    <row r="448" spans="1:33">
      <c r="A448" t="s">
        <v>1437</v>
      </c>
      <c r="B448" s="3">
        <v>45918</v>
      </c>
      <c r="C448" s="3">
        <v>45919</v>
      </c>
      <c r="D448">
        <f t="shared" si="60"/>
        <v>1</v>
      </c>
      <c r="E448" t="s">
        <v>1438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1439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>
        <v>1</v>
      </c>
      <c r="X448" t="s">
        <v>2765</v>
      </c>
      <c r="Y448">
        <f t="shared" si="61"/>
        <v>0</v>
      </c>
      <c r="Z448">
        <f t="shared" si="62"/>
        <v>33940.080000000002</v>
      </c>
      <c r="AA448">
        <f t="shared" si="63"/>
        <v>10185.890000000003</v>
      </c>
      <c r="AB448" s="7">
        <f t="shared" si="64"/>
        <v>0.30011390662603044</v>
      </c>
      <c r="AC448" t="str">
        <f t="shared" si="65"/>
        <v>September</v>
      </c>
      <c r="AD448">
        <f t="shared" si="66"/>
        <v>2025</v>
      </c>
      <c r="AE448" t="str">
        <f t="shared" si="67"/>
        <v>Clean</v>
      </c>
      <c r="AF448" t="str">
        <f t="shared" si="68"/>
        <v>Match</v>
      </c>
      <c r="AG448" t="str">
        <f t="shared" si="69"/>
        <v>Match</v>
      </c>
    </row>
    <row r="449" spans="1:33">
      <c r="A449" t="s">
        <v>1440</v>
      </c>
      <c r="B449" s="3">
        <v>45879</v>
      </c>
      <c r="C449" s="3">
        <v>45879</v>
      </c>
      <c r="D449">
        <f t="shared" si="60"/>
        <v>0</v>
      </c>
      <c r="E449" t="s">
        <v>1441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1442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>
        <v>1</v>
      </c>
      <c r="X449" t="s">
        <v>2765</v>
      </c>
      <c r="Y449">
        <f t="shared" si="61"/>
        <v>0.15</v>
      </c>
      <c r="Z449">
        <f t="shared" si="62"/>
        <v>21872.369999999995</v>
      </c>
      <c r="AA449">
        <f t="shared" si="63"/>
        <v>8042.8699999999953</v>
      </c>
      <c r="AB449" s="7">
        <f t="shared" si="64"/>
        <v>0.36771826738483288</v>
      </c>
      <c r="AC449" t="str">
        <f t="shared" si="65"/>
        <v>August</v>
      </c>
      <c r="AD449">
        <f t="shared" si="66"/>
        <v>2025</v>
      </c>
      <c r="AE449" t="str">
        <f t="shared" si="67"/>
        <v>Clean</v>
      </c>
      <c r="AF449" t="str">
        <f t="shared" si="68"/>
        <v>Match</v>
      </c>
      <c r="AG449" t="str">
        <f t="shared" si="69"/>
        <v>Match</v>
      </c>
    </row>
    <row r="450" spans="1:33">
      <c r="A450" t="s">
        <v>1443</v>
      </c>
      <c r="B450" s="3">
        <v>45306</v>
      </c>
      <c r="C450" s="3">
        <v>45309</v>
      </c>
      <c r="D450">
        <f t="shared" ref="D450:D513" si="70">C450-B450</f>
        <v>3</v>
      </c>
      <c r="E450" t="s">
        <v>1444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1445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>
        <v>1</v>
      </c>
      <c r="X450" t="s">
        <v>2765</v>
      </c>
      <c r="Y450">
        <f t="shared" si="61"/>
        <v>0.15</v>
      </c>
      <c r="Z450">
        <f t="shared" si="62"/>
        <v>342.05700000000002</v>
      </c>
      <c r="AA450">
        <f t="shared" si="63"/>
        <v>97.487000000000023</v>
      </c>
      <c r="AB450" s="7">
        <f t="shared" si="64"/>
        <v>0.28500220723446684</v>
      </c>
      <c r="AC450" t="str">
        <f t="shared" si="65"/>
        <v>January</v>
      </c>
      <c r="AD450">
        <f t="shared" si="66"/>
        <v>2024</v>
      </c>
      <c r="AE450" t="str">
        <f t="shared" si="67"/>
        <v>Clean</v>
      </c>
      <c r="AF450" t="str">
        <f t="shared" si="68"/>
        <v>Match</v>
      </c>
      <c r="AG450" t="str">
        <f t="shared" si="69"/>
        <v>Match</v>
      </c>
    </row>
    <row r="451" spans="1:33">
      <c r="A451" t="s">
        <v>1446</v>
      </c>
      <c r="B451" s="3">
        <v>45449</v>
      </c>
      <c r="C451" s="3">
        <v>45456</v>
      </c>
      <c r="D451">
        <f t="shared" si="70"/>
        <v>7</v>
      </c>
      <c r="E451" t="s">
        <v>1340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1447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>
        <v>1</v>
      </c>
      <c r="X451" t="s">
        <v>2765</v>
      </c>
      <c r="Y451">
        <f t="shared" ref="Y451:Y514" si="71">IF(
Q451="",
0,
IF(Q451&gt;1,
Q451/100,
Q451)
)</f>
        <v>0</v>
      </c>
      <c r="Z451">
        <f t="shared" ref="Z451:Z514" si="72">O451*P451*(1-Y451)</f>
        <v>19622.16</v>
      </c>
      <c r="AA451">
        <f t="shared" ref="AA451:AA514" si="73">Z451-S451</f>
        <v>5350.8899999999994</v>
      </c>
      <c r="AB451" s="7">
        <f t="shared" ref="AB451:AB514" si="74">IF(Z451=0,0,
AA451/Z451)</f>
        <v>0.27269627808559299</v>
      </c>
      <c r="AC451" t="str">
        <f t="shared" ref="AC451:AC514" si="75">TEXT(B451,"mmmm")</f>
        <v>June</v>
      </c>
      <c r="AD451">
        <f t="shared" ref="AD451:AD514" si="76">YEAR(B451)</f>
        <v>2024</v>
      </c>
      <c r="AE451" t="str">
        <f t="shared" ref="AE451:AE514" si="77">IF(
OR(
Y451&lt;0,
D451&lt;0
),
"Invalid",
IF(
X451="Review Required",
"Warning",
"Clean"
)
)</f>
        <v>Clean</v>
      </c>
      <c r="AF451" t="str">
        <f t="shared" ref="AF451:AF514" si="78">IF(ABS(R451-Z451)&gt;0.01,
"Mismatch",
"Match")</f>
        <v>Match</v>
      </c>
      <c r="AG451" t="str">
        <f t="shared" ref="AG451:AG514" si="79">IF(ABS(T451-AA451)&gt;0.01,
"Mismatch",
"Match")</f>
        <v>Match</v>
      </c>
    </row>
    <row r="452" spans="1:33">
      <c r="A452" t="s">
        <v>1448</v>
      </c>
      <c r="B452" s="3">
        <v>45820</v>
      </c>
      <c r="C452" s="3">
        <v>45827</v>
      </c>
      <c r="D452">
        <f t="shared" si="70"/>
        <v>7</v>
      </c>
      <c r="E452" t="s">
        <v>1449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1450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>
        <v>1</v>
      </c>
      <c r="X452" t="s">
        <v>2765</v>
      </c>
      <c r="Y452">
        <f t="shared" si="71"/>
        <v>0.25</v>
      </c>
      <c r="Z452">
        <f t="shared" si="72"/>
        <v>15380.3475</v>
      </c>
      <c r="AA452">
        <f t="shared" si="73"/>
        <v>5472.9774999999991</v>
      </c>
      <c r="AB452" s="7">
        <f t="shared" si="74"/>
        <v>0.35584225258889624</v>
      </c>
      <c r="AC452" t="str">
        <f t="shared" si="75"/>
        <v>June</v>
      </c>
      <c r="AD452">
        <f t="shared" si="76"/>
        <v>2025</v>
      </c>
      <c r="AE452" t="str">
        <f t="shared" si="77"/>
        <v>Clean</v>
      </c>
      <c r="AF452" t="str">
        <f t="shared" si="78"/>
        <v>Match</v>
      </c>
      <c r="AG452" t="str">
        <f t="shared" si="79"/>
        <v>Match</v>
      </c>
    </row>
    <row r="453" spans="1:33">
      <c r="A453" t="s">
        <v>1451</v>
      </c>
      <c r="B453" s="3">
        <v>45375</v>
      </c>
      <c r="C453" s="3">
        <v>45377</v>
      </c>
      <c r="D453">
        <f t="shared" si="70"/>
        <v>2</v>
      </c>
      <c r="E453" t="s">
        <v>1452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1453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>
        <v>1</v>
      </c>
      <c r="X453" t="s">
        <v>2765</v>
      </c>
      <c r="Y453">
        <f t="shared" si="71"/>
        <v>0.15</v>
      </c>
      <c r="Z453">
        <f t="shared" si="72"/>
        <v>13039.952000000001</v>
      </c>
      <c r="AA453">
        <f t="shared" si="73"/>
        <v>1912.1320000000014</v>
      </c>
      <c r="AB453" s="7">
        <f t="shared" si="74"/>
        <v>0.1466364293365498</v>
      </c>
      <c r="AC453" t="str">
        <f t="shared" si="75"/>
        <v>March</v>
      </c>
      <c r="AD453">
        <f t="shared" si="76"/>
        <v>2024</v>
      </c>
      <c r="AE453" t="str">
        <f t="shared" si="77"/>
        <v>Clean</v>
      </c>
      <c r="AF453" t="str">
        <f t="shared" si="78"/>
        <v>Match</v>
      </c>
      <c r="AG453" t="str">
        <f t="shared" si="79"/>
        <v>Match</v>
      </c>
    </row>
    <row r="454" spans="1:33">
      <c r="A454" t="s">
        <v>1454</v>
      </c>
      <c r="B454" s="3">
        <v>45422</v>
      </c>
      <c r="C454" s="3">
        <v>45428</v>
      </c>
      <c r="D454">
        <f t="shared" si="70"/>
        <v>6</v>
      </c>
      <c r="E454" t="s">
        <v>1455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1456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>
        <v>1</v>
      </c>
      <c r="X454" t="s">
        <v>2765</v>
      </c>
      <c r="Y454">
        <f t="shared" si="71"/>
        <v>0.2</v>
      </c>
      <c r="Z454">
        <f t="shared" si="72"/>
        <v>9663.9840000000004</v>
      </c>
      <c r="AA454">
        <f t="shared" si="73"/>
        <v>4035.0540000000001</v>
      </c>
      <c r="AB454" s="7">
        <f t="shared" si="74"/>
        <v>0.41753525254180884</v>
      </c>
      <c r="AC454" t="str">
        <f t="shared" si="75"/>
        <v>May</v>
      </c>
      <c r="AD454">
        <f t="shared" si="76"/>
        <v>2024</v>
      </c>
      <c r="AE454" t="str">
        <f t="shared" si="77"/>
        <v>Clean</v>
      </c>
      <c r="AF454" t="str">
        <f t="shared" si="78"/>
        <v>Match</v>
      </c>
      <c r="AG454" t="str">
        <f t="shared" si="79"/>
        <v>Match</v>
      </c>
    </row>
    <row r="455" spans="1:33">
      <c r="A455" t="s">
        <v>1457</v>
      </c>
      <c r="B455" s="3">
        <v>45780</v>
      </c>
      <c r="C455" s="3">
        <v>45788</v>
      </c>
      <c r="D455">
        <f t="shared" si="70"/>
        <v>8</v>
      </c>
      <c r="E455" t="s">
        <v>1458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1459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>
        <v>1</v>
      </c>
      <c r="X455" t="s">
        <v>2765</v>
      </c>
      <c r="Y455">
        <f t="shared" si="71"/>
        <v>0</v>
      </c>
      <c r="Z455">
        <f t="shared" si="72"/>
        <v>7417.6</v>
      </c>
      <c r="AA455">
        <f t="shared" si="73"/>
        <v>2461.7400000000007</v>
      </c>
      <c r="AB455" s="7">
        <f t="shared" si="74"/>
        <v>0.3318782355478862</v>
      </c>
      <c r="AC455" t="str">
        <f t="shared" si="75"/>
        <v>May</v>
      </c>
      <c r="AD455">
        <f t="shared" si="76"/>
        <v>2025</v>
      </c>
      <c r="AE455" t="str">
        <f t="shared" si="77"/>
        <v>Clean</v>
      </c>
      <c r="AF455" t="str">
        <f t="shared" si="78"/>
        <v>Match</v>
      </c>
      <c r="AG455" t="str">
        <f t="shared" si="79"/>
        <v>Match</v>
      </c>
    </row>
    <row r="456" spans="1:33">
      <c r="A456" t="s">
        <v>1460</v>
      </c>
      <c r="B456" s="3">
        <v>45739</v>
      </c>
      <c r="C456" s="3">
        <v>45744</v>
      </c>
      <c r="D456">
        <f t="shared" si="70"/>
        <v>5</v>
      </c>
      <c r="E456" t="s">
        <v>1461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1462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>
        <v>1</v>
      </c>
      <c r="X456" t="s">
        <v>2765</v>
      </c>
      <c r="Y456">
        <f t="shared" si="71"/>
        <v>0.15</v>
      </c>
      <c r="Z456">
        <f t="shared" si="72"/>
        <v>25229.7</v>
      </c>
      <c r="AA456">
        <f t="shared" si="73"/>
        <v>5059.2700000000004</v>
      </c>
      <c r="AB456" s="7">
        <f t="shared" si="74"/>
        <v>0.20052834556098567</v>
      </c>
      <c r="AC456" t="str">
        <f t="shared" si="75"/>
        <v>March</v>
      </c>
      <c r="AD456">
        <f t="shared" si="76"/>
        <v>2025</v>
      </c>
      <c r="AE456" t="str">
        <f t="shared" si="77"/>
        <v>Clean</v>
      </c>
      <c r="AF456" t="str">
        <f t="shared" si="78"/>
        <v>Match</v>
      </c>
      <c r="AG456" t="str">
        <f t="shared" si="79"/>
        <v>Match</v>
      </c>
    </row>
    <row r="457" spans="1:33">
      <c r="A457" t="s">
        <v>1463</v>
      </c>
      <c r="B457" s="3">
        <v>45491</v>
      </c>
      <c r="C457" s="3">
        <v>45495</v>
      </c>
      <c r="D457">
        <f t="shared" si="70"/>
        <v>4</v>
      </c>
      <c r="E457" t="s">
        <v>1464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1465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>
        <v>1</v>
      </c>
      <c r="X457" t="s">
        <v>2765</v>
      </c>
      <c r="Y457">
        <f t="shared" si="71"/>
        <v>0</v>
      </c>
      <c r="Z457">
        <f t="shared" si="72"/>
        <v>3235.08</v>
      </c>
      <c r="AA457">
        <f t="shared" si="73"/>
        <v>1386.48</v>
      </c>
      <c r="AB457" s="7">
        <f t="shared" si="74"/>
        <v>0.42857672762342819</v>
      </c>
      <c r="AC457" t="str">
        <f t="shared" si="75"/>
        <v>July</v>
      </c>
      <c r="AD457">
        <f t="shared" si="76"/>
        <v>2024</v>
      </c>
      <c r="AE457" t="str">
        <f t="shared" si="77"/>
        <v>Clean</v>
      </c>
      <c r="AF457" t="str">
        <f t="shared" si="78"/>
        <v>Match</v>
      </c>
      <c r="AG457" t="str">
        <f t="shared" si="79"/>
        <v>Match</v>
      </c>
    </row>
    <row r="458" spans="1:33">
      <c r="A458" t="s">
        <v>1466</v>
      </c>
      <c r="B458" s="3">
        <v>45342</v>
      </c>
      <c r="C458" s="3">
        <v>45342</v>
      </c>
      <c r="D458">
        <f t="shared" si="70"/>
        <v>0</v>
      </c>
      <c r="E458" t="s">
        <v>1467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1468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>
        <v>1</v>
      </c>
      <c r="X458" t="s">
        <v>2765</v>
      </c>
      <c r="Y458">
        <f t="shared" si="71"/>
        <v>0.15</v>
      </c>
      <c r="Z458">
        <f t="shared" si="72"/>
        <v>11070.867499999998</v>
      </c>
      <c r="AA458">
        <f t="shared" si="73"/>
        <v>4447.2574999999988</v>
      </c>
      <c r="AB458" s="7">
        <f t="shared" si="74"/>
        <v>0.40170813172499803</v>
      </c>
      <c r="AC458" t="str">
        <f t="shared" si="75"/>
        <v>February</v>
      </c>
      <c r="AD458">
        <f t="shared" si="76"/>
        <v>2024</v>
      </c>
      <c r="AE458" t="str">
        <f t="shared" si="77"/>
        <v>Clean</v>
      </c>
      <c r="AF458" t="str">
        <f t="shared" si="78"/>
        <v>Match</v>
      </c>
      <c r="AG458" t="str">
        <f t="shared" si="79"/>
        <v>Match</v>
      </c>
    </row>
    <row r="459" spans="1:33">
      <c r="A459" t="s">
        <v>1469</v>
      </c>
      <c r="B459" s="3">
        <v>45416</v>
      </c>
      <c r="C459" s="3">
        <v>45416</v>
      </c>
      <c r="D459">
        <f t="shared" si="70"/>
        <v>0</v>
      </c>
      <c r="E459" t="s">
        <v>1470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1471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>
        <v>1</v>
      </c>
      <c r="X459" t="s">
        <v>2765</v>
      </c>
      <c r="Y459">
        <f t="shared" si="71"/>
        <v>0</v>
      </c>
      <c r="Z459">
        <f t="shared" si="72"/>
        <v>19960.57</v>
      </c>
      <c r="AA459">
        <f t="shared" si="73"/>
        <v>3356.9700000000012</v>
      </c>
      <c r="AB459" s="7">
        <f t="shared" si="74"/>
        <v>0.1681800670020947</v>
      </c>
      <c r="AC459" t="str">
        <f t="shared" si="75"/>
        <v>May</v>
      </c>
      <c r="AD459">
        <f t="shared" si="76"/>
        <v>2024</v>
      </c>
      <c r="AE459" t="str">
        <f t="shared" si="77"/>
        <v>Clean</v>
      </c>
      <c r="AF459" t="str">
        <f t="shared" si="78"/>
        <v>Match</v>
      </c>
      <c r="AG459" t="str">
        <f t="shared" si="79"/>
        <v>Match</v>
      </c>
    </row>
    <row r="460" spans="1:33">
      <c r="A460" t="s">
        <v>1472</v>
      </c>
      <c r="B460" s="3">
        <v>45332</v>
      </c>
      <c r="C460" s="3">
        <v>45333</v>
      </c>
      <c r="D460">
        <f t="shared" si="70"/>
        <v>1</v>
      </c>
      <c r="E460" t="s">
        <v>1473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1474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>
        <v>1</v>
      </c>
      <c r="X460" t="s">
        <v>2765</v>
      </c>
      <c r="Y460">
        <f t="shared" si="71"/>
        <v>0.1</v>
      </c>
      <c r="Z460">
        <f t="shared" si="72"/>
        <v>8596.0439999999999</v>
      </c>
      <c r="AA460">
        <f t="shared" si="73"/>
        <v>3217.884</v>
      </c>
      <c r="AB460" s="7">
        <f t="shared" si="74"/>
        <v>0.37434475672762962</v>
      </c>
      <c r="AC460" t="str">
        <f t="shared" si="75"/>
        <v>February</v>
      </c>
      <c r="AD460">
        <f t="shared" si="76"/>
        <v>2024</v>
      </c>
      <c r="AE460" t="str">
        <f t="shared" si="77"/>
        <v>Clean</v>
      </c>
      <c r="AF460" t="str">
        <f t="shared" si="78"/>
        <v>Match</v>
      </c>
      <c r="AG460" t="str">
        <f t="shared" si="79"/>
        <v>Match</v>
      </c>
    </row>
    <row r="461" spans="1:33">
      <c r="A461" t="s">
        <v>1475</v>
      </c>
      <c r="B461" s="3">
        <v>45379</v>
      </c>
      <c r="C461" s="3">
        <v>45386</v>
      </c>
      <c r="D461">
        <f t="shared" si="70"/>
        <v>7</v>
      </c>
      <c r="E461" t="s">
        <v>1476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1477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>
        <v>1</v>
      </c>
      <c r="X461" t="s">
        <v>2765</v>
      </c>
      <c r="Y461">
        <f t="shared" si="71"/>
        <v>0</v>
      </c>
      <c r="Z461">
        <f t="shared" si="72"/>
        <v>3452.76</v>
      </c>
      <c r="AA461">
        <f t="shared" si="73"/>
        <v>1374.8000000000002</v>
      </c>
      <c r="AB461" s="7">
        <f t="shared" si="74"/>
        <v>0.39817421425178701</v>
      </c>
      <c r="AC461" t="str">
        <f t="shared" si="75"/>
        <v>March</v>
      </c>
      <c r="AD461">
        <f t="shared" si="76"/>
        <v>2024</v>
      </c>
      <c r="AE461" t="str">
        <f t="shared" si="77"/>
        <v>Clean</v>
      </c>
      <c r="AF461" t="str">
        <f t="shared" si="78"/>
        <v>Match</v>
      </c>
      <c r="AG461" t="str">
        <f t="shared" si="79"/>
        <v>Match</v>
      </c>
    </row>
    <row r="462" spans="1:33">
      <c r="A462" t="s">
        <v>1478</v>
      </c>
      <c r="B462" s="3">
        <v>45930</v>
      </c>
      <c r="C462" s="3">
        <v>45936</v>
      </c>
      <c r="D462">
        <f t="shared" si="70"/>
        <v>6</v>
      </c>
      <c r="E462" t="s">
        <v>1479</v>
      </c>
      <c r="F462" t="s">
        <v>128</v>
      </c>
      <c r="G462" t="s">
        <v>90</v>
      </c>
      <c r="H462" t="s">
        <v>2760</v>
      </c>
      <c r="I462" t="s">
        <v>26</v>
      </c>
      <c r="J462" t="s">
        <v>27</v>
      </c>
      <c r="K462" t="s">
        <v>74</v>
      </c>
      <c r="L462" t="s">
        <v>80</v>
      </c>
      <c r="M462" t="s">
        <v>1480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>
        <v>1</v>
      </c>
      <c r="X462" t="s">
        <v>2765</v>
      </c>
      <c r="Y462">
        <f t="shared" si="71"/>
        <v>0.05</v>
      </c>
      <c r="Z462">
        <f t="shared" si="72"/>
        <v>11626.974000000002</v>
      </c>
      <c r="AA462">
        <f t="shared" si="73"/>
        <v>4232.9040000000023</v>
      </c>
      <c r="AB462" s="7">
        <f t="shared" si="74"/>
        <v>0.36405895463428417</v>
      </c>
      <c r="AC462" t="str">
        <f t="shared" si="75"/>
        <v>September</v>
      </c>
      <c r="AD462">
        <f t="shared" si="76"/>
        <v>2025</v>
      </c>
      <c r="AE462" t="str">
        <f t="shared" si="77"/>
        <v>Clean</v>
      </c>
      <c r="AF462" t="str">
        <f t="shared" si="78"/>
        <v>Match</v>
      </c>
      <c r="AG462" t="str">
        <f t="shared" si="79"/>
        <v>Match</v>
      </c>
    </row>
    <row r="463" spans="1:33">
      <c r="A463" t="s">
        <v>1481</v>
      </c>
      <c r="B463" s="3">
        <v>45802</v>
      </c>
      <c r="C463" s="3">
        <v>45803</v>
      </c>
      <c r="D463">
        <f t="shared" si="70"/>
        <v>1</v>
      </c>
      <c r="E463" t="s">
        <v>1482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1483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>
        <v>1</v>
      </c>
      <c r="X463" t="s">
        <v>2765</v>
      </c>
      <c r="Y463">
        <f t="shared" si="71"/>
        <v>0.15</v>
      </c>
      <c r="Z463">
        <f t="shared" si="72"/>
        <v>8614.2825000000012</v>
      </c>
      <c r="AA463">
        <f t="shared" si="73"/>
        <v>1562.2025000000012</v>
      </c>
      <c r="AB463" s="7">
        <f t="shared" si="74"/>
        <v>0.18135027496486225</v>
      </c>
      <c r="AC463" t="str">
        <f t="shared" si="75"/>
        <v>May</v>
      </c>
      <c r="AD463">
        <f t="shared" si="76"/>
        <v>2025</v>
      </c>
      <c r="AE463" t="str">
        <f t="shared" si="77"/>
        <v>Clean</v>
      </c>
      <c r="AF463" t="str">
        <f t="shared" si="78"/>
        <v>Match</v>
      </c>
      <c r="AG463" t="str">
        <f t="shared" si="79"/>
        <v>Match</v>
      </c>
    </row>
    <row r="464" spans="1:33">
      <c r="A464" t="s">
        <v>1484</v>
      </c>
      <c r="B464" s="3">
        <v>45558</v>
      </c>
      <c r="C464" s="3">
        <v>45560</v>
      </c>
      <c r="D464">
        <f t="shared" si="70"/>
        <v>2</v>
      </c>
      <c r="E464" t="s">
        <v>1485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1486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>
        <v>1</v>
      </c>
      <c r="X464" t="s">
        <v>2765</v>
      </c>
      <c r="Y464">
        <f t="shared" si="71"/>
        <v>0.2</v>
      </c>
      <c r="Z464">
        <f t="shared" si="72"/>
        <v>2040.2240000000002</v>
      </c>
      <c r="AA464">
        <f t="shared" si="73"/>
        <v>644.51400000000012</v>
      </c>
      <c r="AB464" s="7">
        <f t="shared" si="74"/>
        <v>0.31590354784572677</v>
      </c>
      <c r="AC464" t="str">
        <f t="shared" si="75"/>
        <v>September</v>
      </c>
      <c r="AD464">
        <f t="shared" si="76"/>
        <v>2024</v>
      </c>
      <c r="AE464" t="str">
        <f t="shared" si="77"/>
        <v>Clean</v>
      </c>
      <c r="AF464" t="str">
        <f t="shared" si="78"/>
        <v>Match</v>
      </c>
      <c r="AG464" t="str">
        <f t="shared" si="79"/>
        <v>Match</v>
      </c>
    </row>
    <row r="465" spans="1:33">
      <c r="A465" t="s">
        <v>1487</v>
      </c>
      <c r="B465" s="3">
        <v>45695</v>
      </c>
      <c r="C465" s="3">
        <v>45696</v>
      </c>
      <c r="D465">
        <f t="shared" si="70"/>
        <v>1</v>
      </c>
      <c r="E465" t="s">
        <v>1488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1489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>
        <v>1</v>
      </c>
      <c r="X465" t="s">
        <v>2765</v>
      </c>
      <c r="Y465">
        <f t="shared" si="71"/>
        <v>0.2</v>
      </c>
      <c r="Z465">
        <f t="shared" si="72"/>
        <v>2846.4</v>
      </c>
      <c r="AA465">
        <f t="shared" si="73"/>
        <v>714.0300000000002</v>
      </c>
      <c r="AB465" s="7">
        <f t="shared" si="74"/>
        <v>0.25085370994940986</v>
      </c>
      <c r="AC465" t="str">
        <f t="shared" si="75"/>
        <v>February</v>
      </c>
      <c r="AD465">
        <f t="shared" si="76"/>
        <v>2025</v>
      </c>
      <c r="AE465" t="str">
        <f t="shared" si="77"/>
        <v>Clean</v>
      </c>
      <c r="AF465" t="str">
        <f t="shared" si="78"/>
        <v>Match</v>
      </c>
      <c r="AG465" t="str">
        <f t="shared" si="79"/>
        <v>Match</v>
      </c>
    </row>
    <row r="466" spans="1:33">
      <c r="A466" t="s">
        <v>1490</v>
      </c>
      <c r="B466" s="3">
        <v>45727</v>
      </c>
      <c r="C466" s="3">
        <v>45731</v>
      </c>
      <c r="D466">
        <f t="shared" si="70"/>
        <v>4</v>
      </c>
      <c r="E466" t="s">
        <v>1491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1492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>
        <v>1</v>
      </c>
      <c r="X466" t="s">
        <v>2765</v>
      </c>
      <c r="Y466">
        <f t="shared" si="71"/>
        <v>0.05</v>
      </c>
      <c r="Z466">
        <f t="shared" si="72"/>
        <v>10331.477999999999</v>
      </c>
      <c r="AA466">
        <f t="shared" si="73"/>
        <v>3199.5679999999993</v>
      </c>
      <c r="AB466" s="7">
        <f t="shared" si="74"/>
        <v>0.30969121746181905</v>
      </c>
      <c r="AC466" t="str">
        <f t="shared" si="75"/>
        <v>March</v>
      </c>
      <c r="AD466">
        <f t="shared" si="76"/>
        <v>2025</v>
      </c>
      <c r="AE466" t="str">
        <f t="shared" si="77"/>
        <v>Clean</v>
      </c>
      <c r="AF466" t="str">
        <f t="shared" si="78"/>
        <v>Match</v>
      </c>
      <c r="AG466" t="str">
        <f t="shared" si="79"/>
        <v>Match</v>
      </c>
    </row>
    <row r="467" spans="1:33">
      <c r="A467" t="s">
        <v>1493</v>
      </c>
      <c r="B467" s="3">
        <v>45320</v>
      </c>
      <c r="C467" s="3">
        <v>45328</v>
      </c>
      <c r="D467">
        <f t="shared" si="70"/>
        <v>8</v>
      </c>
      <c r="E467" t="s">
        <v>1494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1495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>
        <v>1</v>
      </c>
      <c r="X467" t="s">
        <v>2765</v>
      </c>
      <c r="Y467">
        <f t="shared" si="71"/>
        <v>0</v>
      </c>
      <c r="Z467">
        <f t="shared" si="72"/>
        <v>2517.8000000000002</v>
      </c>
      <c r="AA467">
        <f t="shared" si="73"/>
        <v>1039.2600000000002</v>
      </c>
      <c r="AB467" s="7">
        <f t="shared" si="74"/>
        <v>0.41276511239971408</v>
      </c>
      <c r="AC467" t="str">
        <f t="shared" si="75"/>
        <v>January</v>
      </c>
      <c r="AD467">
        <f t="shared" si="76"/>
        <v>2024</v>
      </c>
      <c r="AE467" t="str">
        <f t="shared" si="77"/>
        <v>Clean</v>
      </c>
      <c r="AF467" t="str">
        <f t="shared" si="78"/>
        <v>Match</v>
      </c>
      <c r="AG467" t="str">
        <f t="shared" si="79"/>
        <v>Match</v>
      </c>
    </row>
    <row r="468" spans="1:33">
      <c r="A468" t="s">
        <v>1496</v>
      </c>
      <c r="B468" s="3">
        <v>45295</v>
      </c>
      <c r="C468" s="3">
        <v>45299</v>
      </c>
      <c r="D468">
        <f t="shared" si="70"/>
        <v>4</v>
      </c>
      <c r="E468" t="s">
        <v>1497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1498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>
        <v>1</v>
      </c>
      <c r="X468" t="s">
        <v>2765</v>
      </c>
      <c r="Y468">
        <f t="shared" si="71"/>
        <v>0.2</v>
      </c>
      <c r="Z468">
        <f t="shared" si="72"/>
        <v>11462.112000000001</v>
      </c>
      <c r="AA468">
        <f t="shared" si="73"/>
        <v>4356.6320000000014</v>
      </c>
      <c r="AB468" s="7">
        <f t="shared" si="74"/>
        <v>0.38008981241851425</v>
      </c>
      <c r="AC468" t="str">
        <f t="shared" si="75"/>
        <v>January</v>
      </c>
      <c r="AD468">
        <f t="shared" si="76"/>
        <v>2024</v>
      </c>
      <c r="AE468" t="str">
        <f t="shared" si="77"/>
        <v>Clean</v>
      </c>
      <c r="AF468" t="str">
        <f t="shared" si="78"/>
        <v>Match</v>
      </c>
      <c r="AG468" t="str">
        <f t="shared" si="79"/>
        <v>Match</v>
      </c>
    </row>
    <row r="469" spans="1:33">
      <c r="A469" t="s">
        <v>1499</v>
      </c>
      <c r="B469" s="3">
        <v>45524</v>
      </c>
      <c r="C469" s="3">
        <v>45525</v>
      </c>
      <c r="D469">
        <f t="shared" si="70"/>
        <v>1</v>
      </c>
      <c r="E469" t="s">
        <v>1500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1501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>
        <v>1</v>
      </c>
      <c r="X469" t="s">
        <v>2765</v>
      </c>
      <c r="Y469">
        <f t="shared" si="71"/>
        <v>0.1</v>
      </c>
      <c r="Z469">
        <f t="shared" si="72"/>
        <v>19297.485000000001</v>
      </c>
      <c r="AA469">
        <f t="shared" si="73"/>
        <v>3845.8250000000007</v>
      </c>
      <c r="AB469" s="7">
        <f t="shared" si="74"/>
        <v>0.1992915138941681</v>
      </c>
      <c r="AC469" t="str">
        <f t="shared" si="75"/>
        <v>August</v>
      </c>
      <c r="AD469">
        <f t="shared" si="76"/>
        <v>2024</v>
      </c>
      <c r="AE469" t="str">
        <f t="shared" si="77"/>
        <v>Clean</v>
      </c>
      <c r="AF469" t="str">
        <f t="shared" si="78"/>
        <v>Match</v>
      </c>
      <c r="AG469" t="str">
        <f t="shared" si="79"/>
        <v>Match</v>
      </c>
    </row>
    <row r="470" spans="1:33">
      <c r="A470" t="s">
        <v>1502</v>
      </c>
      <c r="B470" s="3">
        <v>45666</v>
      </c>
      <c r="C470" s="3">
        <v>45664</v>
      </c>
      <c r="D470">
        <f t="shared" si="70"/>
        <v>-2</v>
      </c>
      <c r="E470" t="s">
        <v>1503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1504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>
        <v>1</v>
      </c>
      <c r="X470" t="s">
        <v>2765</v>
      </c>
      <c r="Y470">
        <f t="shared" si="71"/>
        <v>0</v>
      </c>
      <c r="Z470">
        <f t="shared" si="72"/>
        <v>6564.99</v>
      </c>
      <c r="AA470">
        <f t="shared" si="73"/>
        <v>1157.75</v>
      </c>
      <c r="AB470" s="7">
        <f t="shared" si="74"/>
        <v>0.17635213458055535</v>
      </c>
      <c r="AC470" t="str">
        <f t="shared" si="75"/>
        <v>January</v>
      </c>
      <c r="AD470">
        <f t="shared" si="76"/>
        <v>2025</v>
      </c>
      <c r="AE470" t="str">
        <f t="shared" si="77"/>
        <v>Invalid</v>
      </c>
      <c r="AF470" t="str">
        <f t="shared" si="78"/>
        <v>Match</v>
      </c>
      <c r="AG470" t="str">
        <f t="shared" si="79"/>
        <v>Match</v>
      </c>
    </row>
    <row r="471" spans="1:33">
      <c r="A471" t="s">
        <v>1505</v>
      </c>
      <c r="B471" s="3">
        <v>45310</v>
      </c>
      <c r="C471" s="3">
        <v>45316</v>
      </c>
      <c r="D471">
        <f t="shared" si="70"/>
        <v>6</v>
      </c>
      <c r="E471" t="s">
        <v>1506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1507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>
        <v>1</v>
      </c>
      <c r="X471" t="s">
        <v>2765</v>
      </c>
      <c r="Y471">
        <f t="shared" si="71"/>
        <v>0.1</v>
      </c>
      <c r="Z471">
        <f t="shared" si="72"/>
        <v>2812.4820000000004</v>
      </c>
      <c r="AA471">
        <f t="shared" si="73"/>
        <v>530.36200000000053</v>
      </c>
      <c r="AB471" s="7">
        <f t="shared" si="74"/>
        <v>0.18857436243147527</v>
      </c>
      <c r="AC471" t="str">
        <f t="shared" si="75"/>
        <v>January</v>
      </c>
      <c r="AD471">
        <f t="shared" si="76"/>
        <v>2024</v>
      </c>
      <c r="AE471" t="str">
        <f t="shared" si="77"/>
        <v>Clean</v>
      </c>
      <c r="AF471" t="str">
        <f t="shared" si="78"/>
        <v>Match</v>
      </c>
      <c r="AG471" t="str">
        <f t="shared" si="79"/>
        <v>Match</v>
      </c>
    </row>
    <row r="472" spans="1:33">
      <c r="A472" t="s">
        <v>1508</v>
      </c>
      <c r="B472" s="3">
        <v>45501</v>
      </c>
      <c r="C472" s="3">
        <v>45504</v>
      </c>
      <c r="D472">
        <f t="shared" si="70"/>
        <v>3</v>
      </c>
      <c r="E472" t="s">
        <v>1509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1510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>
        <v>1</v>
      </c>
      <c r="X472" t="s">
        <v>2765</v>
      </c>
      <c r="Y472">
        <f t="shared" si="71"/>
        <v>0.2</v>
      </c>
      <c r="Z472">
        <f t="shared" si="72"/>
        <v>7079.6480000000001</v>
      </c>
      <c r="AA472">
        <f t="shared" si="73"/>
        <v>2613.7380000000003</v>
      </c>
      <c r="AB472" s="7">
        <f t="shared" si="74"/>
        <v>0.36919038912669105</v>
      </c>
      <c r="AC472" t="str">
        <f t="shared" si="75"/>
        <v>July</v>
      </c>
      <c r="AD472">
        <f t="shared" si="76"/>
        <v>2024</v>
      </c>
      <c r="AE472" t="str">
        <f t="shared" si="77"/>
        <v>Clean</v>
      </c>
      <c r="AF472" t="str">
        <f t="shared" si="78"/>
        <v>Match</v>
      </c>
      <c r="AG472" t="str">
        <f t="shared" si="79"/>
        <v>Match</v>
      </c>
    </row>
    <row r="473" spans="1:33">
      <c r="A473" t="s">
        <v>1511</v>
      </c>
      <c r="B473" s="3">
        <v>45333</v>
      </c>
      <c r="C473" s="3">
        <v>45337</v>
      </c>
      <c r="D473">
        <f t="shared" si="70"/>
        <v>4</v>
      </c>
      <c r="E473" t="s">
        <v>1512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1513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>
        <v>1</v>
      </c>
      <c r="X473" t="s">
        <v>2765</v>
      </c>
      <c r="Y473">
        <f t="shared" si="71"/>
        <v>0.25</v>
      </c>
      <c r="Z473">
        <f t="shared" si="72"/>
        <v>6793.0650000000005</v>
      </c>
      <c r="AA473">
        <f t="shared" si="73"/>
        <v>1807.8450000000003</v>
      </c>
      <c r="AB473" s="7">
        <f t="shared" si="74"/>
        <v>0.26613097327936652</v>
      </c>
      <c r="AC473" t="str">
        <f t="shared" si="75"/>
        <v>February</v>
      </c>
      <c r="AD473">
        <f t="shared" si="76"/>
        <v>2024</v>
      </c>
      <c r="AE473" t="str">
        <f t="shared" si="77"/>
        <v>Clean</v>
      </c>
      <c r="AF473" t="str">
        <f t="shared" si="78"/>
        <v>Match</v>
      </c>
      <c r="AG473" t="str">
        <f t="shared" si="79"/>
        <v>Match</v>
      </c>
    </row>
    <row r="474" spans="1:33">
      <c r="A474" t="s">
        <v>1514</v>
      </c>
      <c r="B474" s="3">
        <v>45353</v>
      </c>
      <c r="C474" s="3">
        <v>45358</v>
      </c>
      <c r="D474">
        <f t="shared" si="70"/>
        <v>5</v>
      </c>
      <c r="E474" t="s">
        <v>1515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1516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>
        <v>1</v>
      </c>
      <c r="X474" t="s">
        <v>2765</v>
      </c>
      <c r="Y474">
        <f t="shared" si="71"/>
        <v>0</v>
      </c>
      <c r="Z474">
        <f t="shared" si="72"/>
        <v>1844.2199999999998</v>
      </c>
      <c r="AA474">
        <f t="shared" si="73"/>
        <v>750.00999999999976</v>
      </c>
      <c r="AB474" s="7">
        <f t="shared" si="74"/>
        <v>0.40668141544934977</v>
      </c>
      <c r="AC474" t="str">
        <f t="shared" si="75"/>
        <v>March</v>
      </c>
      <c r="AD474">
        <f t="shared" si="76"/>
        <v>2024</v>
      </c>
      <c r="AE474" t="str">
        <f t="shared" si="77"/>
        <v>Clean</v>
      </c>
      <c r="AF474" t="str">
        <f t="shared" si="78"/>
        <v>Match</v>
      </c>
      <c r="AG474" t="str">
        <f t="shared" si="79"/>
        <v>Match</v>
      </c>
    </row>
    <row r="475" spans="1:33">
      <c r="A475" t="s">
        <v>1517</v>
      </c>
      <c r="B475" s="3">
        <v>45609</v>
      </c>
      <c r="C475" s="3">
        <v>45609</v>
      </c>
      <c r="D475">
        <f t="shared" si="70"/>
        <v>0</v>
      </c>
      <c r="E475" t="s">
        <v>1518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1519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>
        <v>1</v>
      </c>
      <c r="X475" t="s">
        <v>2765</v>
      </c>
      <c r="Y475">
        <f t="shared" si="71"/>
        <v>0.2</v>
      </c>
      <c r="Z475">
        <f t="shared" si="72"/>
        <v>918.95999999999992</v>
      </c>
      <c r="AA475">
        <f t="shared" si="73"/>
        <v>364.78</v>
      </c>
      <c r="AB475" s="7">
        <f t="shared" si="74"/>
        <v>0.39694872464525116</v>
      </c>
      <c r="AC475" t="str">
        <f t="shared" si="75"/>
        <v>November</v>
      </c>
      <c r="AD475">
        <f t="shared" si="76"/>
        <v>2024</v>
      </c>
      <c r="AE475" t="str">
        <f t="shared" si="77"/>
        <v>Clean</v>
      </c>
      <c r="AF475" t="str">
        <f t="shared" si="78"/>
        <v>Match</v>
      </c>
      <c r="AG475" t="str">
        <f t="shared" si="79"/>
        <v>Match</v>
      </c>
    </row>
    <row r="476" spans="1:33">
      <c r="A476" t="s">
        <v>1520</v>
      </c>
      <c r="B476" s="3">
        <v>45446</v>
      </c>
      <c r="C476" s="3">
        <v>45453</v>
      </c>
      <c r="D476">
        <f t="shared" si="70"/>
        <v>7</v>
      </c>
      <c r="E476" t="s">
        <v>1521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1522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>
        <v>1</v>
      </c>
      <c r="X476" t="s">
        <v>2765</v>
      </c>
      <c r="Y476">
        <f t="shared" si="71"/>
        <v>0</v>
      </c>
      <c r="Z476">
        <f t="shared" si="72"/>
        <v>4900.71</v>
      </c>
      <c r="AA476">
        <f t="shared" si="73"/>
        <v>2186.81</v>
      </c>
      <c r="AB476" s="7">
        <f t="shared" si="74"/>
        <v>0.44622309828575857</v>
      </c>
      <c r="AC476" t="str">
        <f t="shared" si="75"/>
        <v>June</v>
      </c>
      <c r="AD476">
        <f t="shared" si="76"/>
        <v>2024</v>
      </c>
      <c r="AE476" t="str">
        <f t="shared" si="77"/>
        <v>Clean</v>
      </c>
      <c r="AF476" t="str">
        <f t="shared" si="78"/>
        <v>Match</v>
      </c>
      <c r="AG476" t="str">
        <f t="shared" si="79"/>
        <v>Match</v>
      </c>
    </row>
    <row r="477" spans="1:33">
      <c r="A477" t="s">
        <v>1523</v>
      </c>
      <c r="B477" s="3">
        <v>45717</v>
      </c>
      <c r="C477" s="3">
        <v>45724</v>
      </c>
      <c r="D477">
        <f t="shared" si="70"/>
        <v>7</v>
      </c>
      <c r="E477" t="s">
        <v>1524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1525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>
        <v>1</v>
      </c>
      <c r="X477" t="s">
        <v>2765</v>
      </c>
      <c r="Y477">
        <f t="shared" si="71"/>
        <v>0.25</v>
      </c>
      <c r="Z477">
        <f t="shared" si="72"/>
        <v>20272.920000000002</v>
      </c>
      <c r="AA477">
        <f t="shared" si="73"/>
        <v>4399.5400000000027</v>
      </c>
      <c r="AB477" s="7">
        <f t="shared" si="74"/>
        <v>0.21701560505344086</v>
      </c>
      <c r="AC477" t="str">
        <f t="shared" si="75"/>
        <v>March</v>
      </c>
      <c r="AD477">
        <f t="shared" si="76"/>
        <v>2025</v>
      </c>
      <c r="AE477" t="str">
        <f t="shared" si="77"/>
        <v>Clean</v>
      </c>
      <c r="AF477" t="str">
        <f t="shared" si="78"/>
        <v>Match</v>
      </c>
      <c r="AG477" t="str">
        <f t="shared" si="79"/>
        <v>Match</v>
      </c>
    </row>
    <row r="478" spans="1:33">
      <c r="A478" t="s">
        <v>1526</v>
      </c>
      <c r="B478" s="3">
        <v>45419</v>
      </c>
      <c r="C478" s="3">
        <v>45426</v>
      </c>
      <c r="D478">
        <f t="shared" si="70"/>
        <v>7</v>
      </c>
      <c r="E478" t="s">
        <v>1527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1528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>
        <v>1</v>
      </c>
      <c r="X478" t="s">
        <v>2765</v>
      </c>
      <c r="Y478">
        <f t="shared" si="71"/>
        <v>0.1</v>
      </c>
      <c r="Z478">
        <f t="shared" si="72"/>
        <v>1035.6659999999999</v>
      </c>
      <c r="AA478">
        <f t="shared" si="73"/>
        <v>440.24599999999998</v>
      </c>
      <c r="AB478" s="7">
        <f t="shared" si="74"/>
        <v>0.42508492120046426</v>
      </c>
      <c r="AC478" t="str">
        <f t="shared" si="75"/>
        <v>May</v>
      </c>
      <c r="AD478">
        <f t="shared" si="76"/>
        <v>2024</v>
      </c>
      <c r="AE478" t="str">
        <f t="shared" si="77"/>
        <v>Clean</v>
      </c>
      <c r="AF478" t="str">
        <f t="shared" si="78"/>
        <v>Match</v>
      </c>
      <c r="AG478" t="str">
        <f t="shared" si="79"/>
        <v>Match</v>
      </c>
    </row>
    <row r="479" spans="1:33">
      <c r="A479" t="s">
        <v>1529</v>
      </c>
      <c r="B479" s="3">
        <v>45892</v>
      </c>
      <c r="C479" s="3">
        <v>45897</v>
      </c>
      <c r="D479">
        <f t="shared" si="70"/>
        <v>5</v>
      </c>
      <c r="E479" t="s">
        <v>1530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1531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>
        <v>1</v>
      </c>
      <c r="X479" t="s">
        <v>2765</v>
      </c>
      <c r="Y479">
        <f t="shared" si="71"/>
        <v>0.1</v>
      </c>
      <c r="Z479">
        <f t="shared" si="72"/>
        <v>11843.442000000001</v>
      </c>
      <c r="AA479">
        <f t="shared" si="73"/>
        <v>2486.5620000000017</v>
      </c>
      <c r="AB479" s="7">
        <f t="shared" si="74"/>
        <v>0.20995264721184953</v>
      </c>
      <c r="AC479" t="str">
        <f t="shared" si="75"/>
        <v>August</v>
      </c>
      <c r="AD479">
        <f t="shared" si="76"/>
        <v>2025</v>
      </c>
      <c r="AE479" t="str">
        <f t="shared" si="77"/>
        <v>Clean</v>
      </c>
      <c r="AF479" t="str">
        <f t="shared" si="78"/>
        <v>Match</v>
      </c>
      <c r="AG479" t="str">
        <f t="shared" si="79"/>
        <v>Match</v>
      </c>
    </row>
    <row r="480" spans="1:33">
      <c r="A480" t="s">
        <v>1532</v>
      </c>
      <c r="B480" s="3">
        <v>45452</v>
      </c>
      <c r="C480" s="3">
        <v>45456</v>
      </c>
      <c r="D480">
        <f t="shared" si="70"/>
        <v>4</v>
      </c>
      <c r="E480" t="s">
        <v>1533</v>
      </c>
      <c r="F480" t="s">
        <v>36</v>
      </c>
      <c r="G480" t="s">
        <v>95</v>
      </c>
      <c r="H480" t="s">
        <v>2760</v>
      </c>
      <c r="I480" t="s">
        <v>136</v>
      </c>
      <c r="J480" t="s">
        <v>137</v>
      </c>
      <c r="K480" t="s">
        <v>74</v>
      </c>
      <c r="L480" t="s">
        <v>274</v>
      </c>
      <c r="M480" t="s">
        <v>1534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>
        <v>1</v>
      </c>
      <c r="X480" t="s">
        <v>2765</v>
      </c>
      <c r="Y480">
        <f t="shared" si="71"/>
        <v>0.1</v>
      </c>
      <c r="Z480">
        <f t="shared" si="72"/>
        <v>25702.173000000003</v>
      </c>
      <c r="AA480">
        <f t="shared" si="73"/>
        <v>11130.693000000003</v>
      </c>
      <c r="AB480" s="7">
        <f t="shared" si="74"/>
        <v>0.43306427826160854</v>
      </c>
      <c r="AC480" t="str">
        <f t="shared" si="75"/>
        <v>June</v>
      </c>
      <c r="AD480">
        <f t="shared" si="76"/>
        <v>2024</v>
      </c>
      <c r="AE480" t="str">
        <f t="shared" si="77"/>
        <v>Clean</v>
      </c>
      <c r="AF480" t="str">
        <f t="shared" si="78"/>
        <v>Match</v>
      </c>
      <c r="AG480" t="str">
        <f t="shared" si="79"/>
        <v>Match</v>
      </c>
    </row>
    <row r="481" spans="1:33">
      <c r="A481" t="s">
        <v>1535</v>
      </c>
      <c r="B481" s="3">
        <v>45345</v>
      </c>
      <c r="C481" s="3">
        <v>45342</v>
      </c>
      <c r="D481">
        <f t="shared" si="70"/>
        <v>-3</v>
      </c>
      <c r="E481" t="s">
        <v>1536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1537</v>
      </c>
      <c r="N481" t="s">
        <v>31</v>
      </c>
      <c r="O481">
        <v>1</v>
      </c>
      <c r="P481">
        <v>2202.5500000000002</v>
      </c>
      <c r="Q481"/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>
        <v>1</v>
      </c>
      <c r="X481" t="s">
        <v>2765</v>
      </c>
      <c r="Y481">
        <f t="shared" si="71"/>
        <v>0</v>
      </c>
      <c r="Z481">
        <f t="shared" si="72"/>
        <v>2202.5500000000002</v>
      </c>
      <c r="AA481">
        <f t="shared" si="73"/>
        <v>1167.9800000000002</v>
      </c>
      <c r="AB481" s="7">
        <f t="shared" si="74"/>
        <v>0.53028535107035035</v>
      </c>
      <c r="AC481" t="str">
        <f t="shared" si="75"/>
        <v>February</v>
      </c>
      <c r="AD481">
        <f t="shared" si="76"/>
        <v>2024</v>
      </c>
      <c r="AE481" t="str">
        <f t="shared" si="77"/>
        <v>Invalid</v>
      </c>
      <c r="AF481" t="str">
        <f t="shared" si="78"/>
        <v>Mismatch</v>
      </c>
      <c r="AG481" t="str">
        <f t="shared" si="79"/>
        <v>Mismatch</v>
      </c>
    </row>
    <row r="482" spans="1:33">
      <c r="A482" t="s">
        <v>1538</v>
      </c>
      <c r="B482" s="3">
        <v>45662</v>
      </c>
      <c r="C482" s="3">
        <v>45666</v>
      </c>
      <c r="D482">
        <f t="shared" si="70"/>
        <v>4</v>
      </c>
      <c r="E482" t="s">
        <v>1539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1540</v>
      </c>
      <c r="N482" t="s">
        <v>2760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>
        <v>1</v>
      </c>
      <c r="X482" t="s">
        <v>2765</v>
      </c>
      <c r="Y482">
        <f t="shared" si="71"/>
        <v>0</v>
      </c>
      <c r="Z482">
        <f t="shared" si="72"/>
        <v>4525.8</v>
      </c>
      <c r="AA482">
        <f t="shared" si="73"/>
        <v>1811.29</v>
      </c>
      <c r="AB482" s="7">
        <f t="shared" si="74"/>
        <v>0.40021432674886204</v>
      </c>
      <c r="AC482" t="str">
        <f t="shared" si="75"/>
        <v>January</v>
      </c>
      <c r="AD482">
        <f t="shared" si="76"/>
        <v>2025</v>
      </c>
      <c r="AE482" t="str">
        <f t="shared" si="77"/>
        <v>Clean</v>
      </c>
      <c r="AF482" t="str">
        <f t="shared" si="78"/>
        <v>Match</v>
      </c>
      <c r="AG482" t="str">
        <f t="shared" si="79"/>
        <v>Match</v>
      </c>
    </row>
    <row r="483" spans="1:33">
      <c r="A483" t="s">
        <v>1541</v>
      </c>
      <c r="B483" s="3">
        <v>45813</v>
      </c>
      <c r="C483" s="3">
        <v>45821</v>
      </c>
      <c r="D483">
        <f t="shared" si="70"/>
        <v>8</v>
      </c>
      <c r="E483" t="s">
        <v>1542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1543</v>
      </c>
      <c r="N483" t="s">
        <v>44</v>
      </c>
      <c r="O483">
        <v>4</v>
      </c>
      <c r="P483">
        <v>2793.88</v>
      </c>
      <c r="Q483" s="5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>
        <v>1</v>
      </c>
      <c r="X483" t="s">
        <v>2765</v>
      </c>
      <c r="Y483">
        <f t="shared" si="71"/>
        <v>0.85</v>
      </c>
      <c r="Z483">
        <f t="shared" si="72"/>
        <v>1676.3280000000002</v>
      </c>
      <c r="AA483">
        <f t="shared" si="73"/>
        <v>-4677.2619999999997</v>
      </c>
      <c r="AB483" s="7">
        <f t="shared" si="74"/>
        <v>-2.7901830667983827</v>
      </c>
      <c r="AC483" t="str">
        <f t="shared" si="75"/>
        <v>June</v>
      </c>
      <c r="AD483">
        <f t="shared" si="76"/>
        <v>2025</v>
      </c>
      <c r="AE483" t="str">
        <f t="shared" si="77"/>
        <v>Clean</v>
      </c>
      <c r="AF483" t="str">
        <f t="shared" si="78"/>
        <v>Mismatch</v>
      </c>
      <c r="AG483" t="str">
        <f t="shared" si="79"/>
        <v>Mismatch</v>
      </c>
    </row>
    <row r="484" spans="1:33">
      <c r="A484" t="s">
        <v>1544</v>
      </c>
      <c r="B484" s="3">
        <v>45495</v>
      </c>
      <c r="C484" s="3">
        <v>45495</v>
      </c>
      <c r="D484">
        <f t="shared" si="70"/>
        <v>0</v>
      </c>
      <c r="E484" t="s">
        <v>1545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1546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>
        <v>1</v>
      </c>
      <c r="X484" t="s">
        <v>2765</v>
      </c>
      <c r="Y484">
        <f t="shared" si="71"/>
        <v>0.25</v>
      </c>
      <c r="Z484">
        <f t="shared" si="72"/>
        <v>2893.9949999999999</v>
      </c>
      <c r="AA484">
        <f t="shared" si="73"/>
        <v>1037.9649999999999</v>
      </c>
      <c r="AB484" s="7">
        <f t="shared" si="74"/>
        <v>0.35866164247001114</v>
      </c>
      <c r="AC484" t="str">
        <f t="shared" si="75"/>
        <v>July</v>
      </c>
      <c r="AD484">
        <f t="shared" si="76"/>
        <v>2024</v>
      </c>
      <c r="AE484" t="str">
        <f t="shared" si="77"/>
        <v>Clean</v>
      </c>
      <c r="AF484" t="str">
        <f t="shared" si="78"/>
        <v>Match</v>
      </c>
      <c r="AG484" t="str">
        <f t="shared" si="79"/>
        <v>Match</v>
      </c>
    </row>
    <row r="485" spans="1:33">
      <c r="A485" t="s">
        <v>1547</v>
      </c>
      <c r="B485" s="3">
        <v>45651</v>
      </c>
      <c r="C485" s="3">
        <v>45651</v>
      </c>
      <c r="D485">
        <f t="shared" si="70"/>
        <v>0</v>
      </c>
      <c r="E485" t="s">
        <v>1548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1549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>
        <v>1</v>
      </c>
      <c r="X485" t="s">
        <v>2765</v>
      </c>
      <c r="Y485">
        <f t="shared" si="71"/>
        <v>0.15</v>
      </c>
      <c r="Z485">
        <f t="shared" si="72"/>
        <v>705.2109999999999</v>
      </c>
      <c r="AA485">
        <f t="shared" si="73"/>
        <v>266.89099999999991</v>
      </c>
      <c r="AB485" s="7">
        <f t="shared" si="74"/>
        <v>0.37845552607659261</v>
      </c>
      <c r="AC485" t="str">
        <f t="shared" si="75"/>
        <v>December</v>
      </c>
      <c r="AD485">
        <f t="shared" si="76"/>
        <v>2024</v>
      </c>
      <c r="AE485" t="str">
        <f t="shared" si="77"/>
        <v>Clean</v>
      </c>
      <c r="AF485" t="str">
        <f t="shared" si="78"/>
        <v>Match</v>
      </c>
      <c r="AG485" t="str">
        <f t="shared" si="79"/>
        <v>Match</v>
      </c>
    </row>
    <row r="486" spans="1:33">
      <c r="A486" t="s">
        <v>1550</v>
      </c>
      <c r="B486" s="3">
        <v>45654</v>
      </c>
      <c r="C486" s="3">
        <v>45657</v>
      </c>
      <c r="D486">
        <f t="shared" si="70"/>
        <v>3</v>
      </c>
      <c r="E486" t="s">
        <v>1551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1552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>
        <v>1</v>
      </c>
      <c r="X486" t="s">
        <v>2765</v>
      </c>
      <c r="Y486">
        <f t="shared" si="71"/>
        <v>0.25</v>
      </c>
      <c r="Z486">
        <f t="shared" si="72"/>
        <v>16385.489999999998</v>
      </c>
      <c r="AA486">
        <f t="shared" si="73"/>
        <v>2706.2499999999982</v>
      </c>
      <c r="AB486" s="7">
        <f t="shared" si="74"/>
        <v>0.16516137143289572</v>
      </c>
      <c r="AC486" t="str">
        <f t="shared" si="75"/>
        <v>December</v>
      </c>
      <c r="AD486">
        <f t="shared" si="76"/>
        <v>2024</v>
      </c>
      <c r="AE486" t="str">
        <f t="shared" si="77"/>
        <v>Clean</v>
      </c>
      <c r="AF486" t="str">
        <f t="shared" si="78"/>
        <v>Match</v>
      </c>
      <c r="AG486" t="str">
        <f t="shared" si="79"/>
        <v>Match</v>
      </c>
    </row>
    <row r="487" spans="1:33">
      <c r="A487" t="s">
        <v>1553</v>
      </c>
      <c r="B487" s="3">
        <v>45679</v>
      </c>
      <c r="C487" s="3">
        <v>45680</v>
      </c>
      <c r="D487">
        <f t="shared" si="70"/>
        <v>1</v>
      </c>
      <c r="E487" t="s">
        <v>1554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1555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>
        <v>1</v>
      </c>
      <c r="X487" t="s">
        <v>2765</v>
      </c>
      <c r="Y487">
        <f t="shared" si="71"/>
        <v>0.25</v>
      </c>
      <c r="Z487">
        <f t="shared" si="72"/>
        <v>7665.57</v>
      </c>
      <c r="AA487">
        <f t="shared" si="73"/>
        <v>2069.9699999999993</v>
      </c>
      <c r="AB487" s="7">
        <f t="shared" si="74"/>
        <v>0.27003471366121495</v>
      </c>
      <c r="AC487" t="str">
        <f t="shared" si="75"/>
        <v>January</v>
      </c>
      <c r="AD487">
        <f t="shared" si="76"/>
        <v>2025</v>
      </c>
      <c r="AE487" t="str">
        <f t="shared" si="77"/>
        <v>Clean</v>
      </c>
      <c r="AF487" t="str">
        <f t="shared" si="78"/>
        <v>Match</v>
      </c>
      <c r="AG487" t="str">
        <f t="shared" si="79"/>
        <v>Match</v>
      </c>
    </row>
    <row r="488" spans="1:33">
      <c r="A488" t="s">
        <v>1556</v>
      </c>
      <c r="B488" s="3">
        <v>45830</v>
      </c>
      <c r="C488" s="3">
        <v>45834</v>
      </c>
      <c r="D488">
        <f t="shared" si="70"/>
        <v>4</v>
      </c>
      <c r="E488" t="s">
        <v>1557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1558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>
        <v>1</v>
      </c>
      <c r="X488" t="s">
        <v>2765</v>
      </c>
      <c r="Y488">
        <f t="shared" si="71"/>
        <v>0.2</v>
      </c>
      <c r="Z488">
        <f t="shared" si="72"/>
        <v>4670.8320000000003</v>
      </c>
      <c r="AA488">
        <f t="shared" si="73"/>
        <v>1504.3420000000006</v>
      </c>
      <c r="AB488" s="7">
        <f t="shared" si="74"/>
        <v>0.3220715281560117</v>
      </c>
      <c r="AC488" t="str">
        <f t="shared" si="75"/>
        <v>June</v>
      </c>
      <c r="AD488">
        <f t="shared" si="76"/>
        <v>2025</v>
      </c>
      <c r="AE488" t="str">
        <f t="shared" si="77"/>
        <v>Clean</v>
      </c>
      <c r="AF488" t="str">
        <f t="shared" si="78"/>
        <v>Match</v>
      </c>
      <c r="AG488" t="str">
        <f t="shared" si="79"/>
        <v>Match</v>
      </c>
    </row>
    <row r="489" spans="1:33">
      <c r="A489" t="s">
        <v>1559</v>
      </c>
      <c r="B489" s="3">
        <v>45818</v>
      </c>
      <c r="C489" s="3">
        <v>45825</v>
      </c>
      <c r="D489">
        <f t="shared" si="70"/>
        <v>7</v>
      </c>
      <c r="E489" t="s">
        <v>1560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1561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>
        <v>1</v>
      </c>
      <c r="X489" t="s">
        <v>2765</v>
      </c>
      <c r="Y489">
        <f t="shared" si="71"/>
        <v>0</v>
      </c>
      <c r="Z489">
        <f t="shared" si="72"/>
        <v>6155.5</v>
      </c>
      <c r="AA489">
        <f t="shared" si="73"/>
        <v>1873.4099999999999</v>
      </c>
      <c r="AB489" s="7">
        <f t="shared" si="74"/>
        <v>0.3043473316546178</v>
      </c>
      <c r="AC489" t="str">
        <f t="shared" si="75"/>
        <v>June</v>
      </c>
      <c r="AD489">
        <f t="shared" si="76"/>
        <v>2025</v>
      </c>
      <c r="AE489" t="str">
        <f t="shared" si="77"/>
        <v>Clean</v>
      </c>
      <c r="AF489" t="str">
        <f t="shared" si="78"/>
        <v>Match</v>
      </c>
      <c r="AG489" t="str">
        <f t="shared" si="79"/>
        <v>Match</v>
      </c>
    </row>
    <row r="490" spans="1:33">
      <c r="A490" t="s">
        <v>1562</v>
      </c>
      <c r="B490" s="3">
        <v>45579</v>
      </c>
      <c r="C490" s="3">
        <v>45585</v>
      </c>
      <c r="D490">
        <f t="shared" si="70"/>
        <v>6</v>
      </c>
      <c r="E490" t="s">
        <v>1563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1564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>
        <v>1</v>
      </c>
      <c r="X490" t="s">
        <v>2765</v>
      </c>
      <c r="Y490">
        <f t="shared" si="71"/>
        <v>0.2</v>
      </c>
      <c r="Z490">
        <f t="shared" si="72"/>
        <v>8666.56</v>
      </c>
      <c r="AA490">
        <f t="shared" si="73"/>
        <v>2699.12</v>
      </c>
      <c r="AB490" s="7">
        <f t="shared" si="74"/>
        <v>0.31144075619392242</v>
      </c>
      <c r="AC490" t="str">
        <f t="shared" si="75"/>
        <v>October</v>
      </c>
      <c r="AD490">
        <f t="shared" si="76"/>
        <v>2024</v>
      </c>
      <c r="AE490" t="str">
        <f t="shared" si="77"/>
        <v>Clean</v>
      </c>
      <c r="AF490" t="str">
        <f t="shared" si="78"/>
        <v>Match</v>
      </c>
      <c r="AG490" t="str">
        <f t="shared" si="79"/>
        <v>Match</v>
      </c>
    </row>
    <row r="491" spans="1:33">
      <c r="A491" t="s">
        <v>1565</v>
      </c>
      <c r="B491" s="3">
        <v>45329</v>
      </c>
      <c r="C491" s="3">
        <v>45334</v>
      </c>
      <c r="D491">
        <f t="shared" si="70"/>
        <v>5</v>
      </c>
      <c r="E491" t="s">
        <v>1566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1567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>
        <v>1</v>
      </c>
      <c r="X491" t="s">
        <v>2765</v>
      </c>
      <c r="Y491">
        <f t="shared" si="71"/>
        <v>0.2</v>
      </c>
      <c r="Z491">
        <f t="shared" si="72"/>
        <v>361.75200000000001</v>
      </c>
      <c r="AA491">
        <f t="shared" si="73"/>
        <v>99.222000000000037</v>
      </c>
      <c r="AB491" s="7">
        <f t="shared" si="74"/>
        <v>0.27428182843495003</v>
      </c>
      <c r="AC491" t="str">
        <f t="shared" si="75"/>
        <v>February</v>
      </c>
      <c r="AD491">
        <f t="shared" si="76"/>
        <v>2024</v>
      </c>
      <c r="AE491" t="str">
        <f t="shared" si="77"/>
        <v>Clean</v>
      </c>
      <c r="AF491" t="str">
        <f t="shared" si="78"/>
        <v>Match</v>
      </c>
      <c r="AG491" t="str">
        <f t="shared" si="79"/>
        <v>Match</v>
      </c>
    </row>
    <row r="492" spans="1:33">
      <c r="A492" t="s">
        <v>1568</v>
      </c>
      <c r="B492" s="3">
        <v>45551</v>
      </c>
      <c r="C492" s="3">
        <v>45554</v>
      </c>
      <c r="D492">
        <f t="shared" si="70"/>
        <v>3</v>
      </c>
      <c r="E492" t="s">
        <v>1569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1570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>
        <v>1</v>
      </c>
      <c r="X492" t="s">
        <v>2765</v>
      </c>
      <c r="Y492">
        <f t="shared" si="71"/>
        <v>0.15</v>
      </c>
      <c r="Z492">
        <f t="shared" si="72"/>
        <v>2418.1990000000001</v>
      </c>
      <c r="AA492">
        <f t="shared" si="73"/>
        <v>804.37900000000013</v>
      </c>
      <c r="AB492" s="7">
        <f t="shared" si="74"/>
        <v>0.33263556886757462</v>
      </c>
      <c r="AC492" t="str">
        <f t="shared" si="75"/>
        <v>September</v>
      </c>
      <c r="AD492">
        <f t="shared" si="76"/>
        <v>2024</v>
      </c>
      <c r="AE492" t="str">
        <f t="shared" si="77"/>
        <v>Clean</v>
      </c>
      <c r="AF492" t="str">
        <f t="shared" si="78"/>
        <v>Match</v>
      </c>
      <c r="AG492" t="str">
        <f t="shared" si="79"/>
        <v>Match</v>
      </c>
    </row>
    <row r="493" spans="1:33">
      <c r="A493" t="s">
        <v>1571</v>
      </c>
      <c r="B493" s="3">
        <v>45776</v>
      </c>
      <c r="C493" s="3">
        <v>45777</v>
      </c>
      <c r="D493">
        <f t="shared" si="70"/>
        <v>1</v>
      </c>
      <c r="E493" t="s">
        <v>1572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1573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>
        <v>1</v>
      </c>
      <c r="X493" t="s">
        <v>2765</v>
      </c>
      <c r="Y493">
        <f t="shared" si="71"/>
        <v>0.2</v>
      </c>
      <c r="Z493">
        <f t="shared" si="72"/>
        <v>1941.0560000000003</v>
      </c>
      <c r="AA493">
        <f t="shared" si="73"/>
        <v>733.63600000000019</v>
      </c>
      <c r="AB493" s="7">
        <f t="shared" si="74"/>
        <v>0.37795715321969076</v>
      </c>
      <c r="AC493" t="str">
        <f t="shared" si="75"/>
        <v>April</v>
      </c>
      <c r="AD493">
        <f t="shared" si="76"/>
        <v>2025</v>
      </c>
      <c r="AE493" t="str">
        <f t="shared" si="77"/>
        <v>Clean</v>
      </c>
      <c r="AF493" t="str">
        <f t="shared" si="78"/>
        <v>Match</v>
      </c>
      <c r="AG493" t="str">
        <f t="shared" si="79"/>
        <v>Match</v>
      </c>
    </row>
    <row r="494" spans="1:33">
      <c r="A494" t="s">
        <v>1574</v>
      </c>
      <c r="B494" s="3">
        <v>45836</v>
      </c>
      <c r="C494" s="3">
        <v>45840</v>
      </c>
      <c r="D494">
        <f t="shared" si="70"/>
        <v>4</v>
      </c>
      <c r="E494" t="s">
        <v>1575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1576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>
        <v>1</v>
      </c>
      <c r="X494" t="s">
        <v>2765</v>
      </c>
      <c r="Y494">
        <f t="shared" si="71"/>
        <v>0.25</v>
      </c>
      <c r="Z494">
        <f t="shared" si="72"/>
        <v>4088.16</v>
      </c>
      <c r="AA494">
        <f t="shared" si="73"/>
        <v>882.48</v>
      </c>
      <c r="AB494" s="7">
        <f t="shared" si="74"/>
        <v>0.21586239286133616</v>
      </c>
      <c r="AC494" t="str">
        <f t="shared" si="75"/>
        <v>June</v>
      </c>
      <c r="AD494">
        <f t="shared" si="76"/>
        <v>2025</v>
      </c>
      <c r="AE494" t="str">
        <f t="shared" si="77"/>
        <v>Clean</v>
      </c>
      <c r="AF494" t="str">
        <f t="shared" si="78"/>
        <v>Match</v>
      </c>
      <c r="AG494" t="str">
        <f t="shared" si="79"/>
        <v>Match</v>
      </c>
    </row>
    <row r="495" spans="1:33">
      <c r="A495" t="s">
        <v>1577</v>
      </c>
      <c r="B495" s="3">
        <v>45701</v>
      </c>
      <c r="C495" s="3">
        <v>45701</v>
      </c>
      <c r="D495">
        <f t="shared" si="70"/>
        <v>0</v>
      </c>
      <c r="E495" t="s">
        <v>1578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1579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>
        <v>1</v>
      </c>
      <c r="X495" t="s">
        <v>2765</v>
      </c>
      <c r="Y495">
        <f t="shared" si="71"/>
        <v>0.05</v>
      </c>
      <c r="Z495">
        <f t="shared" si="72"/>
        <v>15273.054999999997</v>
      </c>
      <c r="AA495">
        <f t="shared" si="73"/>
        <v>4184.2949999999964</v>
      </c>
      <c r="AB495" s="7">
        <f t="shared" si="74"/>
        <v>0.27396581757873573</v>
      </c>
      <c r="AC495" t="str">
        <f t="shared" si="75"/>
        <v>February</v>
      </c>
      <c r="AD495">
        <f t="shared" si="76"/>
        <v>2025</v>
      </c>
      <c r="AE495" t="str">
        <f t="shared" si="77"/>
        <v>Clean</v>
      </c>
      <c r="AF495" t="str">
        <f t="shared" si="78"/>
        <v>Match</v>
      </c>
      <c r="AG495" t="str">
        <f t="shared" si="79"/>
        <v>Match</v>
      </c>
    </row>
    <row r="496" spans="1:33">
      <c r="A496" t="s">
        <v>1580</v>
      </c>
      <c r="B496" s="3">
        <v>45610</v>
      </c>
      <c r="C496" s="3">
        <v>45618</v>
      </c>
      <c r="D496">
        <f t="shared" si="70"/>
        <v>8</v>
      </c>
      <c r="E496" t="s">
        <v>1581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1582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>
        <v>1</v>
      </c>
      <c r="X496" t="s">
        <v>2765</v>
      </c>
      <c r="Y496">
        <f t="shared" si="71"/>
        <v>-0.13</v>
      </c>
      <c r="Z496">
        <f t="shared" si="72"/>
        <v>2276.9951999999998</v>
      </c>
      <c r="AA496">
        <f t="shared" si="73"/>
        <v>707.61519999999973</v>
      </c>
      <c r="AB496" s="7">
        <f t="shared" si="74"/>
        <v>0.31076710218800629</v>
      </c>
      <c r="AC496" t="str">
        <f t="shared" si="75"/>
        <v>November</v>
      </c>
      <c r="AD496">
        <f t="shared" si="76"/>
        <v>2024</v>
      </c>
      <c r="AE496" t="str">
        <f t="shared" si="77"/>
        <v>Invalid</v>
      </c>
      <c r="AF496" t="str">
        <f t="shared" si="78"/>
        <v>Mismatch</v>
      </c>
      <c r="AG496" t="str">
        <f t="shared" si="79"/>
        <v>Mismatch</v>
      </c>
    </row>
    <row r="497" spans="1:33">
      <c r="A497" t="s">
        <v>1583</v>
      </c>
      <c r="B497" s="3">
        <v>45421</v>
      </c>
      <c r="C497" s="3">
        <v>45427</v>
      </c>
      <c r="D497">
        <f t="shared" si="70"/>
        <v>6</v>
      </c>
      <c r="E497" t="s">
        <v>1584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1585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>
        <v>1</v>
      </c>
      <c r="X497" t="s">
        <v>2765</v>
      </c>
      <c r="Y497">
        <f t="shared" si="71"/>
        <v>0.05</v>
      </c>
      <c r="Z497">
        <f t="shared" si="72"/>
        <v>3784.7239999999997</v>
      </c>
      <c r="AA497">
        <f t="shared" si="73"/>
        <v>1365.4839999999999</v>
      </c>
      <c r="AB497" s="7">
        <f t="shared" si="74"/>
        <v>0.36078826355633858</v>
      </c>
      <c r="AC497" t="str">
        <f t="shared" si="75"/>
        <v>May</v>
      </c>
      <c r="AD497">
        <f t="shared" si="76"/>
        <v>2024</v>
      </c>
      <c r="AE497" t="str">
        <f t="shared" si="77"/>
        <v>Clean</v>
      </c>
      <c r="AF497" t="str">
        <f t="shared" si="78"/>
        <v>Match</v>
      </c>
      <c r="AG497" t="str">
        <f t="shared" si="79"/>
        <v>Match</v>
      </c>
    </row>
    <row r="498" spans="1:33">
      <c r="A498" t="s">
        <v>1586</v>
      </c>
      <c r="B498" s="3">
        <v>45842</v>
      </c>
      <c r="C498" s="3">
        <v>45844</v>
      </c>
      <c r="D498">
        <f t="shared" si="70"/>
        <v>2</v>
      </c>
      <c r="E498" t="s">
        <v>1587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1588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>
        <v>1</v>
      </c>
      <c r="X498" t="s">
        <v>2765</v>
      </c>
      <c r="Y498">
        <f t="shared" si="71"/>
        <v>0.1</v>
      </c>
      <c r="Z498">
        <f t="shared" si="72"/>
        <v>6635.5560000000005</v>
      </c>
      <c r="AA498">
        <f t="shared" si="73"/>
        <v>2982.6460000000006</v>
      </c>
      <c r="AB498" s="7">
        <f t="shared" si="74"/>
        <v>0.44949451108543131</v>
      </c>
      <c r="AC498" t="str">
        <f t="shared" si="75"/>
        <v>July</v>
      </c>
      <c r="AD498">
        <f t="shared" si="76"/>
        <v>2025</v>
      </c>
      <c r="AE498" t="str">
        <f t="shared" si="77"/>
        <v>Clean</v>
      </c>
      <c r="AF498" t="str">
        <f t="shared" si="78"/>
        <v>Match</v>
      </c>
      <c r="AG498" t="str">
        <f t="shared" si="79"/>
        <v>Match</v>
      </c>
    </row>
    <row r="499" spans="1:33">
      <c r="A499" t="s">
        <v>1589</v>
      </c>
      <c r="B499" s="3">
        <v>45533</v>
      </c>
      <c r="C499" s="3">
        <v>45533</v>
      </c>
      <c r="D499">
        <f t="shared" si="70"/>
        <v>0</v>
      </c>
      <c r="E499" t="s">
        <v>1590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1591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>
        <v>1</v>
      </c>
      <c r="X499" t="s">
        <v>2765</v>
      </c>
      <c r="Y499">
        <f t="shared" si="71"/>
        <v>0.2</v>
      </c>
      <c r="Z499">
        <f t="shared" si="72"/>
        <v>2485.5040000000004</v>
      </c>
      <c r="AA499">
        <f t="shared" si="73"/>
        <v>457.0740000000003</v>
      </c>
      <c r="AB499" s="7">
        <f t="shared" si="74"/>
        <v>0.18389590199814615</v>
      </c>
      <c r="AC499" t="str">
        <f t="shared" si="75"/>
        <v>August</v>
      </c>
      <c r="AD499">
        <f t="shared" si="76"/>
        <v>2024</v>
      </c>
      <c r="AE499" t="str">
        <f t="shared" si="77"/>
        <v>Clean</v>
      </c>
      <c r="AF499" t="str">
        <f t="shared" si="78"/>
        <v>Match</v>
      </c>
      <c r="AG499" t="str">
        <f t="shared" si="79"/>
        <v>Match</v>
      </c>
    </row>
    <row r="500" spans="1:33">
      <c r="A500" t="s">
        <v>1592</v>
      </c>
      <c r="B500" s="3">
        <v>45907</v>
      </c>
      <c r="C500" s="3">
        <v>45910</v>
      </c>
      <c r="D500">
        <f t="shared" si="70"/>
        <v>3</v>
      </c>
      <c r="E500" t="s">
        <v>1593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1594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>
        <v>1</v>
      </c>
      <c r="X500" t="s">
        <v>2765</v>
      </c>
      <c r="Y500">
        <f t="shared" si="71"/>
        <v>0.05</v>
      </c>
      <c r="Z500">
        <f t="shared" si="72"/>
        <v>850.34500000000003</v>
      </c>
      <c r="AA500">
        <f t="shared" si="73"/>
        <v>249.36500000000001</v>
      </c>
      <c r="AB500" s="7">
        <f t="shared" si="74"/>
        <v>0.29325156260106194</v>
      </c>
      <c r="AC500" t="str">
        <f t="shared" si="75"/>
        <v>September</v>
      </c>
      <c r="AD500">
        <f t="shared" si="76"/>
        <v>2025</v>
      </c>
      <c r="AE500" t="str">
        <f t="shared" si="77"/>
        <v>Clean</v>
      </c>
      <c r="AF500" t="str">
        <f t="shared" si="78"/>
        <v>Match</v>
      </c>
      <c r="AG500" t="str">
        <f t="shared" si="79"/>
        <v>Match</v>
      </c>
    </row>
    <row r="501" spans="1:33">
      <c r="A501" t="s">
        <v>1595</v>
      </c>
      <c r="B501" s="3">
        <v>45648</v>
      </c>
      <c r="C501" s="3">
        <v>45652</v>
      </c>
      <c r="D501">
        <f t="shared" si="70"/>
        <v>4</v>
      </c>
      <c r="E501" t="s">
        <v>1596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1597</v>
      </c>
      <c r="N501" t="s">
        <v>59</v>
      </c>
      <c r="O501">
        <v>9</v>
      </c>
      <c r="P501">
        <v>1110.8699999999999</v>
      </c>
      <c r="Q501"/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>
        <v>1</v>
      </c>
      <c r="X501" t="s">
        <v>2765</v>
      </c>
      <c r="Y501">
        <f t="shared" si="71"/>
        <v>0</v>
      </c>
      <c r="Z501">
        <f t="shared" si="72"/>
        <v>9997.8299999999981</v>
      </c>
      <c r="AA501">
        <f t="shared" si="73"/>
        <v>3938.7599999999984</v>
      </c>
      <c r="AB501" s="7">
        <f t="shared" si="74"/>
        <v>0.3939614896432525</v>
      </c>
      <c r="AC501" t="str">
        <f t="shared" si="75"/>
        <v>December</v>
      </c>
      <c r="AD501">
        <f t="shared" si="76"/>
        <v>2024</v>
      </c>
      <c r="AE501" t="str">
        <f t="shared" si="77"/>
        <v>Clean</v>
      </c>
      <c r="AF501" t="str">
        <f t="shared" si="78"/>
        <v>Mismatch</v>
      </c>
      <c r="AG501" t="str">
        <f t="shared" si="79"/>
        <v>Mismatch</v>
      </c>
    </row>
    <row r="502" spans="1:33">
      <c r="A502" t="s">
        <v>1598</v>
      </c>
      <c r="B502" s="3">
        <v>45429</v>
      </c>
      <c r="C502" s="3">
        <v>45434</v>
      </c>
      <c r="D502">
        <f t="shared" si="70"/>
        <v>5</v>
      </c>
      <c r="E502" t="s">
        <v>1599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1600</v>
      </c>
      <c r="N502" t="s">
        <v>44</v>
      </c>
      <c r="O502">
        <v>9</v>
      </c>
      <c r="P502">
        <v>3795.99</v>
      </c>
      <c r="Q502" s="5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>
        <v>1</v>
      </c>
      <c r="X502" t="s">
        <v>2765</v>
      </c>
      <c r="Y502">
        <f t="shared" si="71"/>
        <v>0.85</v>
      </c>
      <c r="Z502">
        <f t="shared" si="72"/>
        <v>5124.5865000000003</v>
      </c>
      <c r="AA502">
        <f t="shared" si="73"/>
        <v>-23452.5635</v>
      </c>
      <c r="AB502" s="7">
        <f t="shared" si="74"/>
        <v>-4.5764791949555343</v>
      </c>
      <c r="AC502" t="str">
        <f t="shared" si="75"/>
        <v>May</v>
      </c>
      <c r="AD502">
        <f t="shared" si="76"/>
        <v>2024</v>
      </c>
      <c r="AE502" t="str">
        <f t="shared" si="77"/>
        <v>Clean</v>
      </c>
      <c r="AF502" t="str">
        <f t="shared" si="78"/>
        <v>Mismatch</v>
      </c>
      <c r="AG502" t="str">
        <f t="shared" si="79"/>
        <v>Mismatch</v>
      </c>
    </row>
    <row r="503" spans="1:33">
      <c r="A503" t="s">
        <v>1601</v>
      </c>
      <c r="B503" s="3">
        <v>45515</v>
      </c>
      <c r="C503" s="3">
        <v>45521</v>
      </c>
      <c r="D503">
        <f t="shared" si="70"/>
        <v>6</v>
      </c>
      <c r="E503" t="s">
        <v>806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1602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>
        <v>1</v>
      </c>
      <c r="X503" t="s">
        <v>2765</v>
      </c>
      <c r="Y503">
        <f t="shared" si="71"/>
        <v>0.15</v>
      </c>
      <c r="Z503">
        <f t="shared" si="72"/>
        <v>17837.453999999998</v>
      </c>
      <c r="AA503">
        <f t="shared" si="73"/>
        <v>4210.4339999999975</v>
      </c>
      <c r="AB503" s="7">
        <f t="shared" si="74"/>
        <v>0.23604456106796395</v>
      </c>
      <c r="AC503" t="str">
        <f t="shared" si="75"/>
        <v>August</v>
      </c>
      <c r="AD503">
        <f t="shared" si="76"/>
        <v>2024</v>
      </c>
      <c r="AE503" t="str">
        <f t="shared" si="77"/>
        <v>Clean</v>
      </c>
      <c r="AF503" t="str">
        <f t="shared" si="78"/>
        <v>Match</v>
      </c>
      <c r="AG503" t="str">
        <f t="shared" si="79"/>
        <v>Match</v>
      </c>
    </row>
    <row r="504" spans="1:33">
      <c r="A504" t="s">
        <v>1603</v>
      </c>
      <c r="B504" s="3">
        <v>45383</v>
      </c>
      <c r="C504" s="3">
        <v>45391</v>
      </c>
      <c r="D504">
        <f t="shared" si="70"/>
        <v>8</v>
      </c>
      <c r="E504" t="s">
        <v>1604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1605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>
        <v>1</v>
      </c>
      <c r="X504" t="s">
        <v>2765</v>
      </c>
      <c r="Y504">
        <f t="shared" si="71"/>
        <v>0.1</v>
      </c>
      <c r="Z504">
        <f t="shared" si="72"/>
        <v>4465.4220000000005</v>
      </c>
      <c r="AA504">
        <f t="shared" si="73"/>
        <v>1088.3220000000006</v>
      </c>
      <c r="AB504" s="7">
        <f t="shared" si="74"/>
        <v>0.24372209390288319</v>
      </c>
      <c r="AC504" t="str">
        <f t="shared" si="75"/>
        <v>April</v>
      </c>
      <c r="AD504">
        <f t="shared" si="76"/>
        <v>2024</v>
      </c>
      <c r="AE504" t="str">
        <f t="shared" si="77"/>
        <v>Clean</v>
      </c>
      <c r="AF504" t="str">
        <f t="shared" si="78"/>
        <v>Match</v>
      </c>
      <c r="AG504" t="str">
        <f t="shared" si="79"/>
        <v>Match</v>
      </c>
    </row>
    <row r="505" spans="1:33">
      <c r="A505" t="s">
        <v>1606</v>
      </c>
      <c r="B505" s="3">
        <v>45563</v>
      </c>
      <c r="C505" s="3">
        <v>45570</v>
      </c>
      <c r="D505">
        <f t="shared" si="70"/>
        <v>7</v>
      </c>
      <c r="E505" t="s">
        <v>1607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1608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>
        <v>1</v>
      </c>
      <c r="X505" t="s">
        <v>2765</v>
      </c>
      <c r="Y505">
        <f t="shared" si="71"/>
        <v>0.1</v>
      </c>
      <c r="Z505">
        <f t="shared" si="72"/>
        <v>10594.08</v>
      </c>
      <c r="AA505">
        <f t="shared" si="73"/>
        <v>3433.7699999999995</v>
      </c>
      <c r="AB505" s="7">
        <f t="shared" si="74"/>
        <v>0.32412158488514337</v>
      </c>
      <c r="AC505" t="str">
        <f t="shared" si="75"/>
        <v>September</v>
      </c>
      <c r="AD505">
        <f t="shared" si="76"/>
        <v>2024</v>
      </c>
      <c r="AE505" t="str">
        <f t="shared" si="77"/>
        <v>Clean</v>
      </c>
      <c r="AF505" t="str">
        <f t="shared" si="78"/>
        <v>Match</v>
      </c>
      <c r="AG505" t="str">
        <f t="shared" si="79"/>
        <v>Match</v>
      </c>
    </row>
    <row r="506" spans="1:33">
      <c r="A506" t="s">
        <v>1609</v>
      </c>
      <c r="B506" s="3">
        <v>45700</v>
      </c>
      <c r="C506" s="3">
        <v>45705</v>
      </c>
      <c r="D506">
        <f t="shared" si="70"/>
        <v>5</v>
      </c>
      <c r="E506" t="s">
        <v>1610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1611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>
        <v>1</v>
      </c>
      <c r="X506" t="s">
        <v>2765</v>
      </c>
      <c r="Y506">
        <f t="shared" si="71"/>
        <v>0</v>
      </c>
      <c r="Z506">
        <f t="shared" si="72"/>
        <v>17312.48</v>
      </c>
      <c r="AA506">
        <f t="shared" si="73"/>
        <v>2888.26</v>
      </c>
      <c r="AB506" s="7">
        <f t="shared" si="74"/>
        <v>0.16683109525613893</v>
      </c>
      <c r="AC506" t="str">
        <f t="shared" si="75"/>
        <v>February</v>
      </c>
      <c r="AD506">
        <f t="shared" si="76"/>
        <v>2025</v>
      </c>
      <c r="AE506" t="str">
        <f t="shared" si="77"/>
        <v>Clean</v>
      </c>
      <c r="AF506" t="str">
        <f t="shared" si="78"/>
        <v>Match</v>
      </c>
      <c r="AG506" t="str">
        <f t="shared" si="79"/>
        <v>Match</v>
      </c>
    </row>
    <row r="507" spans="1:33">
      <c r="A507" t="s">
        <v>1612</v>
      </c>
      <c r="B507" s="3">
        <v>45605</v>
      </c>
      <c r="C507" s="3">
        <v>45610</v>
      </c>
      <c r="D507">
        <f t="shared" si="70"/>
        <v>5</v>
      </c>
      <c r="E507" t="s">
        <v>1613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1614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>
        <v>1</v>
      </c>
      <c r="X507" t="s">
        <v>2765</v>
      </c>
      <c r="Y507">
        <f t="shared" si="71"/>
        <v>0.2</v>
      </c>
      <c r="Z507">
        <f t="shared" si="72"/>
        <v>17555.688000000002</v>
      </c>
      <c r="AA507">
        <f t="shared" si="73"/>
        <v>4262.4880000000012</v>
      </c>
      <c r="AB507" s="7">
        <f t="shared" si="74"/>
        <v>0.24279811762432785</v>
      </c>
      <c r="AC507" t="str">
        <f t="shared" si="75"/>
        <v>November</v>
      </c>
      <c r="AD507">
        <f t="shared" si="76"/>
        <v>2024</v>
      </c>
      <c r="AE507" t="str">
        <f t="shared" si="77"/>
        <v>Clean</v>
      </c>
      <c r="AF507" t="str">
        <f t="shared" si="78"/>
        <v>Match</v>
      </c>
      <c r="AG507" t="str">
        <f t="shared" si="79"/>
        <v>Match</v>
      </c>
    </row>
    <row r="508" spans="1:33">
      <c r="A508" t="s">
        <v>1615</v>
      </c>
      <c r="B508" s="3">
        <v>45641</v>
      </c>
      <c r="C508" s="3">
        <v>45641</v>
      </c>
      <c r="D508">
        <f t="shared" si="70"/>
        <v>0</v>
      </c>
      <c r="E508" t="s">
        <v>1616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1617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>
        <v>1</v>
      </c>
      <c r="X508" t="s">
        <v>2765</v>
      </c>
      <c r="Y508">
        <f t="shared" si="71"/>
        <v>0.1</v>
      </c>
      <c r="Z508">
        <f t="shared" si="72"/>
        <v>1205.6399999999999</v>
      </c>
      <c r="AA508">
        <f t="shared" si="73"/>
        <v>363.56999999999982</v>
      </c>
      <c r="AB508" s="7">
        <f t="shared" si="74"/>
        <v>0.30155767890912699</v>
      </c>
      <c r="AC508" t="str">
        <f t="shared" si="75"/>
        <v>December</v>
      </c>
      <c r="AD508">
        <f t="shared" si="76"/>
        <v>2024</v>
      </c>
      <c r="AE508" t="str">
        <f t="shared" si="77"/>
        <v>Clean</v>
      </c>
      <c r="AF508" t="str">
        <f t="shared" si="78"/>
        <v>Match</v>
      </c>
      <c r="AG508" t="str">
        <f t="shared" si="79"/>
        <v>Match</v>
      </c>
    </row>
    <row r="509" spans="1:33">
      <c r="A509" t="s">
        <v>1618</v>
      </c>
      <c r="B509" s="3">
        <v>45762</v>
      </c>
      <c r="C509" s="3">
        <v>45769</v>
      </c>
      <c r="D509">
        <f t="shared" si="70"/>
        <v>7</v>
      </c>
      <c r="E509" t="s">
        <v>1619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1620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>
        <v>1</v>
      </c>
      <c r="X509" t="s">
        <v>2765</v>
      </c>
      <c r="Y509">
        <f t="shared" si="71"/>
        <v>0.25</v>
      </c>
      <c r="Z509">
        <f t="shared" si="72"/>
        <v>8971.26</v>
      </c>
      <c r="AA509">
        <f t="shared" si="73"/>
        <v>2156.91</v>
      </c>
      <c r="AB509" s="7">
        <f t="shared" si="74"/>
        <v>0.24042442198754688</v>
      </c>
      <c r="AC509" t="str">
        <f t="shared" si="75"/>
        <v>April</v>
      </c>
      <c r="AD509">
        <f t="shared" si="76"/>
        <v>2025</v>
      </c>
      <c r="AE509" t="str">
        <f t="shared" si="77"/>
        <v>Clean</v>
      </c>
      <c r="AF509" t="str">
        <f t="shared" si="78"/>
        <v>Match</v>
      </c>
      <c r="AG509" t="str">
        <f t="shared" si="79"/>
        <v>Match</v>
      </c>
    </row>
    <row r="510" spans="1:33">
      <c r="A510" t="s">
        <v>1621</v>
      </c>
      <c r="B510" s="3">
        <v>45382</v>
      </c>
      <c r="C510" s="3">
        <v>45389</v>
      </c>
      <c r="D510">
        <f t="shared" si="70"/>
        <v>7</v>
      </c>
      <c r="E510" t="s">
        <v>1622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1623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>
        <v>1</v>
      </c>
      <c r="X510" t="s">
        <v>2765</v>
      </c>
      <c r="Y510">
        <f t="shared" si="71"/>
        <v>0</v>
      </c>
      <c r="Z510">
        <f t="shared" si="72"/>
        <v>7324</v>
      </c>
      <c r="AA510">
        <f t="shared" si="73"/>
        <v>3144.37</v>
      </c>
      <c r="AB510" s="7">
        <f t="shared" si="74"/>
        <v>0.42932413981430911</v>
      </c>
      <c r="AC510" t="str">
        <f t="shared" si="75"/>
        <v>March</v>
      </c>
      <c r="AD510">
        <f t="shared" si="76"/>
        <v>2024</v>
      </c>
      <c r="AE510" t="str">
        <f t="shared" si="77"/>
        <v>Clean</v>
      </c>
      <c r="AF510" t="str">
        <f t="shared" si="78"/>
        <v>Match</v>
      </c>
      <c r="AG510" t="str">
        <f t="shared" si="79"/>
        <v>Match</v>
      </c>
    </row>
    <row r="511" spans="1:33">
      <c r="A511" t="s">
        <v>1624</v>
      </c>
      <c r="B511" s="3">
        <v>45789</v>
      </c>
      <c r="C511" s="3">
        <v>45791</v>
      </c>
      <c r="D511">
        <f t="shared" si="70"/>
        <v>2</v>
      </c>
      <c r="E511" t="s">
        <v>1625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1626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>
        <v>1</v>
      </c>
      <c r="X511" t="s">
        <v>2765</v>
      </c>
      <c r="Y511">
        <f t="shared" si="71"/>
        <v>0.2</v>
      </c>
      <c r="Z511">
        <f t="shared" si="72"/>
        <v>23241.216</v>
      </c>
      <c r="AA511">
        <f t="shared" si="73"/>
        <v>6020.3159999999989</v>
      </c>
      <c r="AB511" s="7">
        <f t="shared" si="74"/>
        <v>0.25903618812371948</v>
      </c>
      <c r="AC511" t="str">
        <f t="shared" si="75"/>
        <v>May</v>
      </c>
      <c r="AD511">
        <f t="shared" si="76"/>
        <v>2025</v>
      </c>
      <c r="AE511" t="str">
        <f t="shared" si="77"/>
        <v>Clean</v>
      </c>
      <c r="AF511" t="str">
        <f t="shared" si="78"/>
        <v>Match</v>
      </c>
      <c r="AG511" t="str">
        <f t="shared" si="79"/>
        <v>Match</v>
      </c>
    </row>
    <row r="512" spans="1:33">
      <c r="A512" t="s">
        <v>1627</v>
      </c>
      <c r="B512" s="3">
        <v>45583</v>
      </c>
      <c r="C512" s="3">
        <v>45586</v>
      </c>
      <c r="D512">
        <f t="shared" si="70"/>
        <v>3</v>
      </c>
      <c r="E512" t="s">
        <v>1628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1629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>
        <v>1</v>
      </c>
      <c r="X512" t="s">
        <v>2765</v>
      </c>
      <c r="Y512">
        <f t="shared" si="71"/>
        <v>0</v>
      </c>
      <c r="Z512">
        <f t="shared" si="72"/>
        <v>8477.02</v>
      </c>
      <c r="AA512">
        <f t="shared" si="73"/>
        <v>1592.0600000000004</v>
      </c>
      <c r="AB512" s="7">
        <f t="shared" si="74"/>
        <v>0.18780892341884298</v>
      </c>
      <c r="AC512" t="str">
        <f t="shared" si="75"/>
        <v>October</v>
      </c>
      <c r="AD512">
        <f t="shared" si="76"/>
        <v>2024</v>
      </c>
      <c r="AE512" t="str">
        <f t="shared" si="77"/>
        <v>Clean</v>
      </c>
      <c r="AF512" t="str">
        <f t="shared" si="78"/>
        <v>Match</v>
      </c>
      <c r="AG512" t="str">
        <f t="shared" si="79"/>
        <v>Match</v>
      </c>
    </row>
    <row r="513" spans="1:33">
      <c r="A513" t="s">
        <v>1630</v>
      </c>
      <c r="B513" s="3">
        <v>45588</v>
      </c>
      <c r="C513" s="3">
        <v>45591</v>
      </c>
      <c r="D513">
        <f t="shared" si="70"/>
        <v>3</v>
      </c>
      <c r="E513" t="s">
        <v>1631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1632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>
        <v>1</v>
      </c>
      <c r="X513" t="s">
        <v>2765</v>
      </c>
      <c r="Y513">
        <f t="shared" si="71"/>
        <v>0.25</v>
      </c>
      <c r="Z513">
        <f t="shared" si="72"/>
        <v>3673.8225000000002</v>
      </c>
      <c r="AA513">
        <f t="shared" si="73"/>
        <v>1585.6725000000001</v>
      </c>
      <c r="AB513" s="7">
        <f t="shared" si="74"/>
        <v>0.43161380278987349</v>
      </c>
      <c r="AC513" t="str">
        <f t="shared" si="75"/>
        <v>October</v>
      </c>
      <c r="AD513">
        <f t="shared" si="76"/>
        <v>2024</v>
      </c>
      <c r="AE513" t="str">
        <f t="shared" si="77"/>
        <v>Clean</v>
      </c>
      <c r="AF513" t="str">
        <f t="shared" si="78"/>
        <v>Match</v>
      </c>
      <c r="AG513" t="str">
        <f t="shared" si="79"/>
        <v>Match</v>
      </c>
    </row>
    <row r="514" spans="1:33">
      <c r="A514" t="s">
        <v>1633</v>
      </c>
      <c r="B514" s="3">
        <v>45718</v>
      </c>
      <c r="C514" s="3">
        <v>45719</v>
      </c>
      <c r="D514">
        <f t="shared" ref="D514:D577" si="80">C514-B514</f>
        <v>1</v>
      </c>
      <c r="E514" t="s">
        <v>1245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1634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>
        <v>1</v>
      </c>
      <c r="X514" t="s">
        <v>2765</v>
      </c>
      <c r="Y514">
        <f t="shared" si="71"/>
        <v>0.25</v>
      </c>
      <c r="Z514">
        <f t="shared" si="72"/>
        <v>6047.1749999999993</v>
      </c>
      <c r="AA514">
        <f t="shared" si="73"/>
        <v>2678.3849999999993</v>
      </c>
      <c r="AB514" s="7">
        <f t="shared" si="74"/>
        <v>0.44291508018206843</v>
      </c>
      <c r="AC514" t="str">
        <f t="shared" si="75"/>
        <v>March</v>
      </c>
      <c r="AD514">
        <f t="shared" si="76"/>
        <v>2025</v>
      </c>
      <c r="AE514" t="str">
        <f t="shared" si="77"/>
        <v>Clean</v>
      </c>
      <c r="AF514" t="str">
        <f t="shared" si="78"/>
        <v>Match</v>
      </c>
      <c r="AG514" t="str">
        <f t="shared" si="79"/>
        <v>Match</v>
      </c>
    </row>
    <row r="515" spans="1:33">
      <c r="A515" t="s">
        <v>1635</v>
      </c>
      <c r="B515" s="3">
        <v>45835</v>
      </c>
      <c r="C515" s="3">
        <v>45840</v>
      </c>
      <c r="D515">
        <f t="shared" si="80"/>
        <v>5</v>
      </c>
      <c r="E515" t="s">
        <v>1636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1637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>
        <v>1</v>
      </c>
      <c r="X515" t="s">
        <v>2765</v>
      </c>
      <c r="Y515">
        <f t="shared" ref="Y515:Y578" si="81">IF(
Q515="",
0,
IF(Q515&gt;1,
Q515/100,
Q515)
)</f>
        <v>0.1</v>
      </c>
      <c r="Z515">
        <f t="shared" ref="Z515:Z578" si="82">O515*P515*(1-Y515)</f>
        <v>5937.246000000001</v>
      </c>
      <c r="AA515">
        <f t="shared" ref="AA515:AA578" si="83">Z515-S515</f>
        <v>1848.786000000001</v>
      </c>
      <c r="AB515" s="7">
        <f t="shared" ref="AB515:AB578" si="84">IF(Z515=0,0,
AA515/Z515)</f>
        <v>0.31138780505304997</v>
      </c>
      <c r="AC515" t="str">
        <f t="shared" ref="AC515:AC578" si="85">TEXT(B515,"mmmm")</f>
        <v>June</v>
      </c>
      <c r="AD515">
        <f t="shared" ref="AD515:AD578" si="86">YEAR(B515)</f>
        <v>2025</v>
      </c>
      <c r="AE515" t="str">
        <f t="shared" ref="AE515:AE578" si="87">IF(
OR(
Y515&lt;0,
D515&lt;0
),
"Invalid",
IF(
X515="Review Required",
"Warning",
"Clean"
)
)</f>
        <v>Clean</v>
      </c>
      <c r="AF515" t="str">
        <f t="shared" ref="AF515:AF578" si="88">IF(ABS(R515-Z515)&gt;0.01,
"Mismatch",
"Match")</f>
        <v>Mismatch</v>
      </c>
      <c r="AG515" t="str">
        <f t="shared" ref="AG515:AG578" si="89">IF(ABS(T515-AA515)&gt;0.01,
"Mismatch",
"Match")</f>
        <v>Match</v>
      </c>
    </row>
    <row r="516" spans="1:33">
      <c r="A516" t="s">
        <v>1638</v>
      </c>
      <c r="B516" s="3">
        <v>45614</v>
      </c>
      <c r="C516" s="3">
        <v>45618</v>
      </c>
      <c r="D516">
        <f t="shared" si="80"/>
        <v>4</v>
      </c>
      <c r="E516" t="s">
        <v>1639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1640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>
        <v>1</v>
      </c>
      <c r="X516" t="s">
        <v>2765</v>
      </c>
      <c r="Y516">
        <f t="shared" si="81"/>
        <v>0.1</v>
      </c>
      <c r="Z516">
        <f t="shared" si="82"/>
        <v>20913.876</v>
      </c>
      <c r="AA516">
        <f t="shared" si="83"/>
        <v>9229.1959999999999</v>
      </c>
      <c r="AB516" s="7">
        <f t="shared" si="84"/>
        <v>0.44129533903710627</v>
      </c>
      <c r="AC516" t="str">
        <f t="shared" si="85"/>
        <v>November</v>
      </c>
      <c r="AD516">
        <f t="shared" si="86"/>
        <v>2024</v>
      </c>
      <c r="AE516" t="str">
        <f t="shared" si="87"/>
        <v>Clean</v>
      </c>
      <c r="AF516" t="str">
        <f t="shared" si="88"/>
        <v>Match</v>
      </c>
      <c r="AG516" t="str">
        <f t="shared" si="89"/>
        <v>Match</v>
      </c>
    </row>
    <row r="517" spans="1:33">
      <c r="A517" t="s">
        <v>1641</v>
      </c>
      <c r="B517" s="3">
        <v>45758</v>
      </c>
      <c r="C517" s="3">
        <v>45758</v>
      </c>
      <c r="D517">
        <f t="shared" si="80"/>
        <v>0</v>
      </c>
      <c r="E517" t="s">
        <v>1642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1643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>
        <v>1</v>
      </c>
      <c r="X517" t="s">
        <v>2765</v>
      </c>
      <c r="Y517">
        <f t="shared" si="81"/>
        <v>-7.0000000000000007E-2</v>
      </c>
      <c r="Z517">
        <f t="shared" si="82"/>
        <v>4770.5843000000004</v>
      </c>
      <c r="AA517">
        <f t="shared" si="83"/>
        <v>2687.1743000000006</v>
      </c>
      <c r="AB517" s="7">
        <f t="shared" si="84"/>
        <v>0.56327991101635089</v>
      </c>
      <c r="AC517" t="str">
        <f t="shared" si="85"/>
        <v>April</v>
      </c>
      <c r="AD517">
        <f t="shared" si="86"/>
        <v>2025</v>
      </c>
      <c r="AE517" t="str">
        <f t="shared" si="87"/>
        <v>Invalid</v>
      </c>
      <c r="AF517" t="str">
        <f t="shared" si="88"/>
        <v>Mismatch</v>
      </c>
      <c r="AG517" t="str">
        <f t="shared" si="89"/>
        <v>Mismatch</v>
      </c>
    </row>
    <row r="518" spans="1:33">
      <c r="A518" t="s">
        <v>1644</v>
      </c>
      <c r="B518" s="3">
        <v>45563</v>
      </c>
      <c r="C518" s="3">
        <v>45569</v>
      </c>
      <c r="D518">
        <f t="shared" si="80"/>
        <v>6</v>
      </c>
      <c r="E518" t="s">
        <v>1645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1646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>
        <v>1</v>
      </c>
      <c r="X518" t="s">
        <v>2765</v>
      </c>
      <c r="Y518">
        <f t="shared" si="81"/>
        <v>0</v>
      </c>
      <c r="Z518">
        <f t="shared" si="82"/>
        <v>2233.1799999999998</v>
      </c>
      <c r="AA518">
        <f t="shared" si="83"/>
        <v>647.3599999999999</v>
      </c>
      <c r="AB518" s="7">
        <f t="shared" si="84"/>
        <v>0.28988258895386843</v>
      </c>
      <c r="AC518" t="str">
        <f t="shared" si="85"/>
        <v>September</v>
      </c>
      <c r="AD518">
        <f t="shared" si="86"/>
        <v>2024</v>
      </c>
      <c r="AE518" t="str">
        <f t="shared" si="87"/>
        <v>Clean</v>
      </c>
      <c r="AF518" t="str">
        <f t="shared" si="88"/>
        <v>Match</v>
      </c>
      <c r="AG518" t="str">
        <f t="shared" si="89"/>
        <v>Match</v>
      </c>
    </row>
    <row r="519" spans="1:33">
      <c r="A519" t="s">
        <v>1647</v>
      </c>
      <c r="B519" s="3">
        <v>45802</v>
      </c>
      <c r="C519" s="3">
        <v>45804</v>
      </c>
      <c r="D519">
        <f t="shared" si="80"/>
        <v>2</v>
      </c>
      <c r="E519" t="s">
        <v>1648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1649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>
        <v>1</v>
      </c>
      <c r="X519" t="s">
        <v>2765</v>
      </c>
      <c r="Y519">
        <f t="shared" si="81"/>
        <v>0.2</v>
      </c>
      <c r="Z519">
        <f t="shared" si="82"/>
        <v>11890.368000000002</v>
      </c>
      <c r="AA519">
        <f t="shared" si="83"/>
        <v>2655.8380000000016</v>
      </c>
      <c r="AB519" s="7">
        <f t="shared" si="84"/>
        <v>0.22336045444514427</v>
      </c>
      <c r="AC519" t="str">
        <f t="shared" si="85"/>
        <v>May</v>
      </c>
      <c r="AD519">
        <f t="shared" si="86"/>
        <v>2025</v>
      </c>
      <c r="AE519" t="str">
        <f t="shared" si="87"/>
        <v>Clean</v>
      </c>
      <c r="AF519" t="str">
        <f t="shared" si="88"/>
        <v>Match</v>
      </c>
      <c r="AG519" t="str">
        <f t="shared" si="89"/>
        <v>Match</v>
      </c>
    </row>
    <row r="520" spans="1:33">
      <c r="A520" t="s">
        <v>1650</v>
      </c>
      <c r="B520" s="3">
        <v>45777</v>
      </c>
      <c r="C520" s="3">
        <v>45773</v>
      </c>
      <c r="D520">
        <f t="shared" si="80"/>
        <v>-4</v>
      </c>
      <c r="E520" t="s">
        <v>1651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1652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>
        <v>1</v>
      </c>
      <c r="X520" t="s">
        <v>2765</v>
      </c>
      <c r="Y520">
        <f t="shared" si="81"/>
        <v>0.25</v>
      </c>
      <c r="Z520">
        <f t="shared" si="82"/>
        <v>8421.682499999999</v>
      </c>
      <c r="AA520">
        <f t="shared" si="83"/>
        <v>1887.2124999999987</v>
      </c>
      <c r="AB520" s="7">
        <f t="shared" si="84"/>
        <v>0.22408972316398759</v>
      </c>
      <c r="AC520" t="str">
        <f t="shared" si="85"/>
        <v>April</v>
      </c>
      <c r="AD520">
        <f t="shared" si="86"/>
        <v>2025</v>
      </c>
      <c r="AE520" t="str">
        <f t="shared" si="87"/>
        <v>Invalid</v>
      </c>
      <c r="AF520" t="str">
        <f t="shared" si="88"/>
        <v>Match</v>
      </c>
      <c r="AG520" t="str">
        <f t="shared" si="89"/>
        <v>Match</v>
      </c>
    </row>
    <row r="521" spans="1:33">
      <c r="A521" t="s">
        <v>1653</v>
      </c>
      <c r="B521" s="3">
        <v>45841</v>
      </c>
      <c r="C521" s="3">
        <v>45845</v>
      </c>
      <c r="D521">
        <f t="shared" si="80"/>
        <v>4</v>
      </c>
      <c r="E521" t="s">
        <v>1654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1655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>
        <v>1</v>
      </c>
      <c r="X521" t="s">
        <v>2765</v>
      </c>
      <c r="Y521">
        <f t="shared" si="81"/>
        <v>0.2</v>
      </c>
      <c r="Z521">
        <f t="shared" si="82"/>
        <v>13968.672</v>
      </c>
      <c r="AA521">
        <f t="shared" si="83"/>
        <v>5111.0920000000006</v>
      </c>
      <c r="AB521" s="7">
        <f t="shared" si="84"/>
        <v>0.36589677243477409</v>
      </c>
      <c r="AC521" t="str">
        <f t="shared" si="85"/>
        <v>July</v>
      </c>
      <c r="AD521">
        <f t="shared" si="86"/>
        <v>2025</v>
      </c>
      <c r="AE521" t="str">
        <f t="shared" si="87"/>
        <v>Clean</v>
      </c>
      <c r="AF521" t="str">
        <f t="shared" si="88"/>
        <v>Match</v>
      </c>
      <c r="AG521" t="str">
        <f t="shared" si="89"/>
        <v>Match</v>
      </c>
    </row>
    <row r="522" spans="1:33">
      <c r="A522" t="s">
        <v>1656</v>
      </c>
      <c r="B522" s="3">
        <v>45489</v>
      </c>
      <c r="C522" s="3">
        <v>45496</v>
      </c>
      <c r="D522">
        <f t="shared" si="80"/>
        <v>7</v>
      </c>
      <c r="E522" t="s">
        <v>1657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1658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>
        <v>1</v>
      </c>
      <c r="X522" t="s">
        <v>2765</v>
      </c>
      <c r="Y522">
        <f t="shared" si="81"/>
        <v>0.05</v>
      </c>
      <c r="Z522">
        <f t="shared" si="82"/>
        <v>1611.1144999999999</v>
      </c>
      <c r="AA522">
        <f t="shared" si="83"/>
        <v>715.96449999999993</v>
      </c>
      <c r="AB522" s="7">
        <f t="shared" si="84"/>
        <v>0.44439082386757739</v>
      </c>
      <c r="AC522" t="str">
        <f t="shared" si="85"/>
        <v>July</v>
      </c>
      <c r="AD522">
        <f t="shared" si="86"/>
        <v>2024</v>
      </c>
      <c r="AE522" t="str">
        <f t="shared" si="87"/>
        <v>Clean</v>
      </c>
      <c r="AF522" t="str">
        <f t="shared" si="88"/>
        <v>Match</v>
      </c>
      <c r="AG522" t="str">
        <f t="shared" si="89"/>
        <v>Match</v>
      </c>
    </row>
    <row r="523" spans="1:33">
      <c r="A523" t="s">
        <v>1659</v>
      </c>
      <c r="B523" s="3">
        <v>45741</v>
      </c>
      <c r="C523" s="3">
        <v>45748</v>
      </c>
      <c r="D523">
        <f t="shared" si="80"/>
        <v>7</v>
      </c>
      <c r="E523" t="s">
        <v>1660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1661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>
        <v>1</v>
      </c>
      <c r="X523" t="s">
        <v>2765</v>
      </c>
      <c r="Y523">
        <f t="shared" si="81"/>
        <v>0.05</v>
      </c>
      <c r="Z523">
        <f t="shared" si="82"/>
        <v>12495.027</v>
      </c>
      <c r="AA523">
        <f t="shared" si="83"/>
        <v>3310.5069999999996</v>
      </c>
      <c r="AB523" s="7">
        <f t="shared" si="84"/>
        <v>0.26494596610315446</v>
      </c>
      <c r="AC523" t="str">
        <f t="shared" si="85"/>
        <v>March</v>
      </c>
      <c r="AD523">
        <f t="shared" si="86"/>
        <v>2025</v>
      </c>
      <c r="AE523" t="str">
        <f t="shared" si="87"/>
        <v>Clean</v>
      </c>
      <c r="AF523" t="str">
        <f t="shared" si="88"/>
        <v>Match</v>
      </c>
      <c r="AG523" t="str">
        <f t="shared" si="89"/>
        <v>Match</v>
      </c>
    </row>
    <row r="524" spans="1:33">
      <c r="A524" t="s">
        <v>1662</v>
      </c>
      <c r="B524" s="3">
        <v>45716</v>
      </c>
      <c r="C524" s="3">
        <v>45724</v>
      </c>
      <c r="D524">
        <f t="shared" si="80"/>
        <v>8</v>
      </c>
      <c r="E524" t="s">
        <v>1663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1664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>
        <v>1</v>
      </c>
      <c r="X524" t="s">
        <v>2765</v>
      </c>
      <c r="Y524">
        <f t="shared" si="81"/>
        <v>0</v>
      </c>
      <c r="Z524">
        <f t="shared" si="82"/>
        <v>33034.86</v>
      </c>
      <c r="AA524">
        <f t="shared" si="83"/>
        <v>8495.0299999999988</v>
      </c>
      <c r="AB524" s="7">
        <f t="shared" si="84"/>
        <v>0.25715350390466307</v>
      </c>
      <c r="AC524" t="str">
        <f t="shared" si="85"/>
        <v>February</v>
      </c>
      <c r="AD524">
        <f t="shared" si="86"/>
        <v>2025</v>
      </c>
      <c r="AE524" t="str">
        <f t="shared" si="87"/>
        <v>Clean</v>
      </c>
      <c r="AF524" t="str">
        <f t="shared" si="88"/>
        <v>Match</v>
      </c>
      <c r="AG524" t="str">
        <f t="shared" si="89"/>
        <v>Match</v>
      </c>
    </row>
    <row r="525" spans="1:33">
      <c r="A525" t="s">
        <v>1665</v>
      </c>
      <c r="B525" s="3">
        <v>45384</v>
      </c>
      <c r="C525" s="3">
        <v>45385</v>
      </c>
      <c r="D525">
        <f t="shared" si="80"/>
        <v>1</v>
      </c>
      <c r="E525" t="s">
        <v>1666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1667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>
        <v>1</v>
      </c>
      <c r="X525" t="s">
        <v>2765</v>
      </c>
      <c r="Y525">
        <f t="shared" si="81"/>
        <v>0</v>
      </c>
      <c r="Z525">
        <f t="shared" si="82"/>
        <v>5805.26</v>
      </c>
      <c r="AA525">
        <f t="shared" si="83"/>
        <v>1150.9000000000005</v>
      </c>
      <c r="AB525" s="7">
        <f t="shared" si="84"/>
        <v>0.19825124111581574</v>
      </c>
      <c r="AC525" t="str">
        <f t="shared" si="85"/>
        <v>April</v>
      </c>
      <c r="AD525">
        <f t="shared" si="86"/>
        <v>2024</v>
      </c>
      <c r="AE525" t="str">
        <f t="shared" si="87"/>
        <v>Clean</v>
      </c>
      <c r="AF525" t="str">
        <f t="shared" si="88"/>
        <v>Match</v>
      </c>
      <c r="AG525" t="str">
        <f t="shared" si="89"/>
        <v>Match</v>
      </c>
    </row>
    <row r="526" spans="1:33">
      <c r="A526" t="s">
        <v>1668</v>
      </c>
      <c r="B526" s="3">
        <v>45626</v>
      </c>
      <c r="C526" s="3">
        <v>45627</v>
      </c>
      <c r="D526">
        <f t="shared" si="80"/>
        <v>1</v>
      </c>
      <c r="E526" t="s">
        <v>1669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1670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>
        <v>1</v>
      </c>
      <c r="X526" t="s">
        <v>2765</v>
      </c>
      <c r="Y526">
        <f t="shared" si="81"/>
        <v>0.1</v>
      </c>
      <c r="Z526">
        <f t="shared" si="82"/>
        <v>34079.616000000002</v>
      </c>
      <c r="AA526">
        <f t="shared" si="83"/>
        <v>12208.226000000002</v>
      </c>
      <c r="AB526" s="7">
        <f t="shared" si="84"/>
        <v>0.35822663025311091</v>
      </c>
      <c r="AC526" t="str">
        <f t="shared" si="85"/>
        <v>November</v>
      </c>
      <c r="AD526">
        <f t="shared" si="86"/>
        <v>2024</v>
      </c>
      <c r="AE526" t="str">
        <f t="shared" si="87"/>
        <v>Clean</v>
      </c>
      <c r="AF526" t="str">
        <f t="shared" si="88"/>
        <v>Match</v>
      </c>
      <c r="AG526" t="str">
        <f t="shared" si="89"/>
        <v>Match</v>
      </c>
    </row>
    <row r="527" spans="1:33">
      <c r="A527" t="s">
        <v>1671</v>
      </c>
      <c r="B527" s="3">
        <v>45582</v>
      </c>
      <c r="C527" s="3">
        <v>45582</v>
      </c>
      <c r="D527">
        <f t="shared" si="80"/>
        <v>0</v>
      </c>
      <c r="E527" t="s">
        <v>1672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1673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>
        <v>1</v>
      </c>
      <c r="X527" t="s">
        <v>2765</v>
      </c>
      <c r="Y527">
        <f t="shared" si="81"/>
        <v>0.1</v>
      </c>
      <c r="Z527">
        <f t="shared" si="82"/>
        <v>11359.800000000001</v>
      </c>
      <c r="AA527">
        <f t="shared" si="83"/>
        <v>4297.3600000000015</v>
      </c>
      <c r="AB527" s="7">
        <f t="shared" si="84"/>
        <v>0.37829539252451638</v>
      </c>
      <c r="AC527" t="str">
        <f t="shared" si="85"/>
        <v>October</v>
      </c>
      <c r="AD527">
        <f t="shared" si="86"/>
        <v>2024</v>
      </c>
      <c r="AE527" t="str">
        <f t="shared" si="87"/>
        <v>Clean</v>
      </c>
      <c r="AF527" t="str">
        <f t="shared" si="88"/>
        <v>Match</v>
      </c>
      <c r="AG527" t="str">
        <f t="shared" si="89"/>
        <v>Match</v>
      </c>
    </row>
    <row r="528" spans="1:33">
      <c r="A528" t="s">
        <v>1674</v>
      </c>
      <c r="B528" s="3">
        <v>45856</v>
      </c>
      <c r="C528" s="3">
        <v>45859</v>
      </c>
      <c r="D528">
        <f t="shared" si="80"/>
        <v>3</v>
      </c>
      <c r="E528" t="s">
        <v>1675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1676</v>
      </c>
      <c r="N528" t="s">
        <v>31</v>
      </c>
      <c r="O528">
        <v>4</v>
      </c>
      <c r="P528">
        <v>284.04000000000002</v>
      </c>
      <c r="Q528"/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>
        <v>1</v>
      </c>
      <c r="X528" t="s">
        <v>2765</v>
      </c>
      <c r="Y528">
        <f t="shared" si="81"/>
        <v>0</v>
      </c>
      <c r="Z528">
        <f t="shared" si="82"/>
        <v>1136.1600000000001</v>
      </c>
      <c r="AA528">
        <f t="shared" si="83"/>
        <v>564.08000000000004</v>
      </c>
      <c r="AB528" s="7">
        <f t="shared" si="84"/>
        <v>0.49647936910294327</v>
      </c>
      <c r="AC528" t="str">
        <f t="shared" si="85"/>
        <v>July</v>
      </c>
      <c r="AD528">
        <f t="shared" si="86"/>
        <v>2025</v>
      </c>
      <c r="AE528" t="str">
        <f t="shared" si="87"/>
        <v>Clean</v>
      </c>
      <c r="AF528" t="str">
        <f t="shared" si="88"/>
        <v>Mismatch</v>
      </c>
      <c r="AG528" t="str">
        <f t="shared" si="89"/>
        <v>Mismatch</v>
      </c>
    </row>
    <row r="529" spans="1:33">
      <c r="A529" t="s">
        <v>1677</v>
      </c>
      <c r="B529" s="3">
        <v>45931</v>
      </c>
      <c r="C529" s="3">
        <v>45935</v>
      </c>
      <c r="D529">
        <f t="shared" si="80"/>
        <v>4</v>
      </c>
      <c r="E529" t="s">
        <v>1678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1679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>
        <v>1</v>
      </c>
      <c r="X529" t="s">
        <v>2765</v>
      </c>
      <c r="Y529">
        <f t="shared" si="81"/>
        <v>0.15</v>
      </c>
      <c r="Z529">
        <f t="shared" si="82"/>
        <v>13802.13</v>
      </c>
      <c r="AA529">
        <f t="shared" si="83"/>
        <v>3726.1999999999989</v>
      </c>
      <c r="AB529" s="7">
        <f t="shared" si="84"/>
        <v>0.26997282303528508</v>
      </c>
      <c r="AC529" t="str">
        <f t="shared" si="85"/>
        <v>October</v>
      </c>
      <c r="AD529">
        <f t="shared" si="86"/>
        <v>2025</v>
      </c>
      <c r="AE529" t="str">
        <f t="shared" si="87"/>
        <v>Clean</v>
      </c>
      <c r="AF529" t="str">
        <f t="shared" si="88"/>
        <v>Match</v>
      </c>
      <c r="AG529" t="str">
        <f t="shared" si="89"/>
        <v>Match</v>
      </c>
    </row>
    <row r="530" spans="1:33">
      <c r="A530" t="s">
        <v>1680</v>
      </c>
      <c r="B530" s="3">
        <v>45572</v>
      </c>
      <c r="C530" s="3">
        <v>45574</v>
      </c>
      <c r="D530">
        <f t="shared" si="80"/>
        <v>2</v>
      </c>
      <c r="E530" t="s">
        <v>1681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1682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>
        <v>1</v>
      </c>
      <c r="X530" t="s">
        <v>2765</v>
      </c>
      <c r="Y530">
        <f t="shared" si="81"/>
        <v>0.05</v>
      </c>
      <c r="Z530">
        <f t="shared" si="82"/>
        <v>29558.119500000001</v>
      </c>
      <c r="AA530">
        <f t="shared" si="83"/>
        <v>8255.9894999999997</v>
      </c>
      <c r="AB530" s="7">
        <f t="shared" si="84"/>
        <v>0.27931376013281223</v>
      </c>
      <c r="AC530" t="str">
        <f t="shared" si="85"/>
        <v>October</v>
      </c>
      <c r="AD530">
        <f t="shared" si="86"/>
        <v>2024</v>
      </c>
      <c r="AE530" t="str">
        <f t="shared" si="87"/>
        <v>Clean</v>
      </c>
      <c r="AF530" t="str">
        <f t="shared" si="88"/>
        <v>Match</v>
      </c>
      <c r="AG530" t="str">
        <f t="shared" si="89"/>
        <v>Match</v>
      </c>
    </row>
    <row r="531" spans="1:33">
      <c r="A531" t="s">
        <v>1683</v>
      </c>
      <c r="B531" s="3">
        <v>45328</v>
      </c>
      <c r="C531" s="3">
        <v>45330</v>
      </c>
      <c r="D531">
        <f t="shared" si="80"/>
        <v>2</v>
      </c>
      <c r="E531" t="s">
        <v>728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1684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>
        <v>1</v>
      </c>
      <c r="X531" t="s">
        <v>2765</v>
      </c>
      <c r="Y531">
        <f t="shared" si="81"/>
        <v>0</v>
      </c>
      <c r="Z531">
        <f t="shared" si="82"/>
        <v>16400.25</v>
      </c>
      <c r="AA531">
        <f t="shared" si="83"/>
        <v>4253.2900000000009</v>
      </c>
      <c r="AB531" s="7">
        <f t="shared" si="84"/>
        <v>0.25934299782015524</v>
      </c>
      <c r="AC531" t="str">
        <f t="shared" si="85"/>
        <v>February</v>
      </c>
      <c r="AD531">
        <f t="shared" si="86"/>
        <v>2024</v>
      </c>
      <c r="AE531" t="str">
        <f t="shared" si="87"/>
        <v>Clean</v>
      </c>
      <c r="AF531" t="str">
        <f t="shared" si="88"/>
        <v>Match</v>
      </c>
      <c r="AG531" t="str">
        <f t="shared" si="89"/>
        <v>Match</v>
      </c>
    </row>
    <row r="532" spans="1:33">
      <c r="A532" t="s">
        <v>1685</v>
      </c>
      <c r="B532" s="3">
        <v>45807</v>
      </c>
      <c r="C532" s="3">
        <v>45809</v>
      </c>
      <c r="D532">
        <f t="shared" si="80"/>
        <v>2</v>
      </c>
      <c r="E532" t="s">
        <v>1686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1687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>
        <v>1</v>
      </c>
      <c r="X532" t="s">
        <v>2765</v>
      </c>
      <c r="Y532">
        <f t="shared" si="81"/>
        <v>0.05</v>
      </c>
      <c r="Z532">
        <f t="shared" si="82"/>
        <v>17053.0605</v>
      </c>
      <c r="AA532">
        <f t="shared" si="83"/>
        <v>6310.6805000000004</v>
      </c>
      <c r="AB532" s="7">
        <f t="shared" si="84"/>
        <v>0.37006146198801093</v>
      </c>
      <c r="AC532" t="str">
        <f t="shared" si="85"/>
        <v>May</v>
      </c>
      <c r="AD532">
        <f t="shared" si="86"/>
        <v>2025</v>
      </c>
      <c r="AE532" t="str">
        <f t="shared" si="87"/>
        <v>Clean</v>
      </c>
      <c r="AF532" t="str">
        <f t="shared" si="88"/>
        <v>Match</v>
      </c>
      <c r="AG532" t="str">
        <f t="shared" si="89"/>
        <v>Match</v>
      </c>
    </row>
    <row r="533" spans="1:33">
      <c r="A533" t="s">
        <v>1688</v>
      </c>
      <c r="B533" s="3">
        <v>45505</v>
      </c>
      <c r="C533" s="3">
        <v>45512</v>
      </c>
      <c r="D533">
        <f t="shared" si="80"/>
        <v>7</v>
      </c>
      <c r="E533" t="s">
        <v>1689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1690</v>
      </c>
      <c r="N533" t="s">
        <v>2760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>
        <v>1</v>
      </c>
      <c r="X533" t="s">
        <v>2765</v>
      </c>
      <c r="Y533">
        <f t="shared" si="81"/>
        <v>0.1</v>
      </c>
      <c r="Z533">
        <f t="shared" si="82"/>
        <v>398.67300000000006</v>
      </c>
      <c r="AA533">
        <f t="shared" si="83"/>
        <v>87.013000000000034</v>
      </c>
      <c r="AB533" s="7">
        <f t="shared" si="84"/>
        <v>0.21825656615822997</v>
      </c>
      <c r="AC533" t="str">
        <f t="shared" si="85"/>
        <v>August</v>
      </c>
      <c r="AD533">
        <f t="shared" si="86"/>
        <v>2024</v>
      </c>
      <c r="AE533" t="str">
        <f t="shared" si="87"/>
        <v>Clean</v>
      </c>
      <c r="AF533" t="str">
        <f t="shared" si="88"/>
        <v>Match</v>
      </c>
      <c r="AG533" t="str">
        <f t="shared" si="89"/>
        <v>Match</v>
      </c>
    </row>
    <row r="534" spans="1:33">
      <c r="A534" t="s">
        <v>1691</v>
      </c>
      <c r="B534" s="3">
        <v>45935</v>
      </c>
      <c r="C534" s="3">
        <v>45940</v>
      </c>
      <c r="D534">
        <f t="shared" si="80"/>
        <v>5</v>
      </c>
      <c r="E534" t="s">
        <v>1692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1693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>
        <v>1</v>
      </c>
      <c r="X534" t="s">
        <v>2765</v>
      </c>
      <c r="Y534">
        <f t="shared" si="81"/>
        <v>0.05</v>
      </c>
      <c r="Z534">
        <f t="shared" si="82"/>
        <v>17862.146999999997</v>
      </c>
      <c r="AA534">
        <f t="shared" si="83"/>
        <v>7969.9369999999981</v>
      </c>
      <c r="AB534" s="7">
        <f t="shared" si="84"/>
        <v>0.44619143488182017</v>
      </c>
      <c r="AC534" t="str">
        <f t="shared" si="85"/>
        <v>October</v>
      </c>
      <c r="AD534">
        <f t="shared" si="86"/>
        <v>2025</v>
      </c>
      <c r="AE534" t="str">
        <f t="shared" si="87"/>
        <v>Clean</v>
      </c>
      <c r="AF534" t="str">
        <f t="shared" si="88"/>
        <v>Match</v>
      </c>
      <c r="AG534" t="str">
        <f t="shared" si="89"/>
        <v>Match</v>
      </c>
    </row>
    <row r="535" spans="1:33">
      <c r="A535" t="s">
        <v>1694</v>
      </c>
      <c r="B535" s="3">
        <v>45529</v>
      </c>
      <c r="C535" s="3">
        <v>45536</v>
      </c>
      <c r="D535">
        <f t="shared" si="80"/>
        <v>7</v>
      </c>
      <c r="E535" t="s">
        <v>1695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1696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>
        <v>1</v>
      </c>
      <c r="X535" t="s">
        <v>2765</v>
      </c>
      <c r="Y535">
        <f t="shared" si="81"/>
        <v>0.25</v>
      </c>
      <c r="Z535">
        <f t="shared" si="82"/>
        <v>2165.8500000000004</v>
      </c>
      <c r="AA535">
        <f t="shared" si="83"/>
        <v>41.370000000000346</v>
      </c>
      <c r="AB535" s="7">
        <f t="shared" si="84"/>
        <v>1.91010457787937E-2</v>
      </c>
      <c r="AC535" t="str">
        <f t="shared" si="85"/>
        <v>August</v>
      </c>
      <c r="AD535">
        <f t="shared" si="86"/>
        <v>2024</v>
      </c>
      <c r="AE535" t="str">
        <f t="shared" si="87"/>
        <v>Clean</v>
      </c>
      <c r="AF535" t="str">
        <f t="shared" si="88"/>
        <v>Match</v>
      </c>
      <c r="AG535" t="str">
        <f t="shared" si="89"/>
        <v>Mismatch</v>
      </c>
    </row>
    <row r="536" spans="1:33">
      <c r="A536" t="s">
        <v>1697</v>
      </c>
      <c r="B536" s="3">
        <v>45774</v>
      </c>
      <c r="C536" s="3">
        <v>45782</v>
      </c>
      <c r="D536">
        <f t="shared" si="80"/>
        <v>8</v>
      </c>
      <c r="E536" t="s">
        <v>1698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1699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>
        <v>1</v>
      </c>
      <c r="X536" t="s">
        <v>2765</v>
      </c>
      <c r="Y536">
        <f t="shared" si="81"/>
        <v>0.1</v>
      </c>
      <c r="Z536">
        <f t="shared" si="82"/>
        <v>14268.204</v>
      </c>
      <c r="AA536">
        <f t="shared" si="83"/>
        <v>2562.9040000000005</v>
      </c>
      <c r="AB536" s="7">
        <f t="shared" si="84"/>
        <v>0.17962344805274724</v>
      </c>
      <c r="AC536" t="str">
        <f t="shared" si="85"/>
        <v>April</v>
      </c>
      <c r="AD536">
        <f t="shared" si="86"/>
        <v>2025</v>
      </c>
      <c r="AE536" t="str">
        <f t="shared" si="87"/>
        <v>Clean</v>
      </c>
      <c r="AF536" t="str">
        <f t="shared" si="88"/>
        <v>Match</v>
      </c>
      <c r="AG536" t="str">
        <f t="shared" si="89"/>
        <v>Match</v>
      </c>
    </row>
    <row r="537" spans="1:33">
      <c r="A537" t="s">
        <v>1700</v>
      </c>
      <c r="B537" s="3">
        <v>45431</v>
      </c>
      <c r="C537" s="3">
        <v>45433</v>
      </c>
      <c r="D537">
        <f t="shared" si="80"/>
        <v>2</v>
      </c>
      <c r="E537" t="s">
        <v>1701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1702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>
        <v>1</v>
      </c>
      <c r="X537" t="s">
        <v>2765</v>
      </c>
      <c r="Y537">
        <f t="shared" si="81"/>
        <v>0.2</v>
      </c>
      <c r="Z537">
        <f t="shared" si="82"/>
        <v>9602.3520000000008</v>
      </c>
      <c r="AA537">
        <f t="shared" si="83"/>
        <v>2214.7820000000011</v>
      </c>
      <c r="AB537" s="7">
        <f t="shared" si="84"/>
        <v>0.23064994909580494</v>
      </c>
      <c r="AC537" t="str">
        <f t="shared" si="85"/>
        <v>May</v>
      </c>
      <c r="AD537">
        <f t="shared" si="86"/>
        <v>2024</v>
      </c>
      <c r="AE537" t="str">
        <f t="shared" si="87"/>
        <v>Clean</v>
      </c>
      <c r="AF537" t="str">
        <f t="shared" si="88"/>
        <v>Match</v>
      </c>
      <c r="AG537" t="str">
        <f t="shared" si="89"/>
        <v>Match</v>
      </c>
    </row>
    <row r="538" spans="1:33">
      <c r="A538" t="s">
        <v>1703</v>
      </c>
      <c r="B538" s="3">
        <v>45757</v>
      </c>
      <c r="C538" s="3">
        <v>45764</v>
      </c>
      <c r="D538">
        <f t="shared" si="80"/>
        <v>7</v>
      </c>
      <c r="E538" t="s">
        <v>1704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1705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>
        <v>1</v>
      </c>
      <c r="X538" t="s">
        <v>2765</v>
      </c>
      <c r="Y538">
        <f t="shared" si="81"/>
        <v>0.25</v>
      </c>
      <c r="Z538">
        <f t="shared" si="82"/>
        <v>19891.724999999999</v>
      </c>
      <c r="AA538">
        <f t="shared" si="83"/>
        <v>7595.9649999999983</v>
      </c>
      <c r="AB538" s="7">
        <f t="shared" si="84"/>
        <v>0.38186557475533162</v>
      </c>
      <c r="AC538" t="str">
        <f t="shared" si="85"/>
        <v>April</v>
      </c>
      <c r="AD538">
        <f t="shared" si="86"/>
        <v>2025</v>
      </c>
      <c r="AE538" t="str">
        <f t="shared" si="87"/>
        <v>Clean</v>
      </c>
      <c r="AF538" t="str">
        <f t="shared" si="88"/>
        <v>Match</v>
      </c>
      <c r="AG538" t="str">
        <f t="shared" si="89"/>
        <v>Match</v>
      </c>
    </row>
    <row r="539" spans="1:33">
      <c r="A539" t="s">
        <v>1706</v>
      </c>
      <c r="B539" s="3">
        <v>45313</v>
      </c>
      <c r="C539" s="3">
        <v>45321</v>
      </c>
      <c r="D539">
        <f t="shared" si="80"/>
        <v>8</v>
      </c>
      <c r="E539" t="s">
        <v>1707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1708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>
        <v>1</v>
      </c>
      <c r="X539" t="s">
        <v>2765</v>
      </c>
      <c r="Y539">
        <f t="shared" si="81"/>
        <v>0.05</v>
      </c>
      <c r="Z539">
        <f t="shared" si="82"/>
        <v>1927.6545000000001</v>
      </c>
      <c r="AA539">
        <f t="shared" si="83"/>
        <v>467.05450000000019</v>
      </c>
      <c r="AB539" s="7">
        <f t="shared" si="84"/>
        <v>0.24229160360427668</v>
      </c>
      <c r="AC539" t="str">
        <f t="shared" si="85"/>
        <v>January</v>
      </c>
      <c r="AD539">
        <f t="shared" si="86"/>
        <v>2024</v>
      </c>
      <c r="AE539" t="str">
        <f t="shared" si="87"/>
        <v>Clean</v>
      </c>
      <c r="AF539" t="str">
        <f t="shared" si="88"/>
        <v>Match</v>
      </c>
      <c r="AG539" t="str">
        <f t="shared" si="89"/>
        <v>Match</v>
      </c>
    </row>
    <row r="540" spans="1:33">
      <c r="A540" t="s">
        <v>1709</v>
      </c>
      <c r="B540" s="3">
        <v>45560</v>
      </c>
      <c r="C540" s="3">
        <v>45566</v>
      </c>
      <c r="D540">
        <f t="shared" si="80"/>
        <v>6</v>
      </c>
      <c r="E540" t="s">
        <v>1710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1711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>
        <v>1</v>
      </c>
      <c r="X540" t="s">
        <v>2765</v>
      </c>
      <c r="Y540">
        <f t="shared" si="81"/>
        <v>0.15</v>
      </c>
      <c r="Z540">
        <f t="shared" si="82"/>
        <v>29900.79</v>
      </c>
      <c r="AA540">
        <f t="shared" si="83"/>
        <v>5250.1200000000026</v>
      </c>
      <c r="AB540" s="7">
        <f t="shared" si="84"/>
        <v>0.17558465846554563</v>
      </c>
      <c r="AC540" t="str">
        <f t="shared" si="85"/>
        <v>September</v>
      </c>
      <c r="AD540">
        <f t="shared" si="86"/>
        <v>2024</v>
      </c>
      <c r="AE540" t="str">
        <f t="shared" si="87"/>
        <v>Clean</v>
      </c>
      <c r="AF540" t="str">
        <f t="shared" si="88"/>
        <v>Match</v>
      </c>
      <c r="AG540" t="str">
        <f t="shared" si="89"/>
        <v>Match</v>
      </c>
    </row>
    <row r="541" spans="1:33">
      <c r="A541" t="s">
        <v>1712</v>
      </c>
      <c r="B541" s="3">
        <v>45842</v>
      </c>
      <c r="C541" s="3">
        <v>45842</v>
      </c>
      <c r="D541">
        <f t="shared" si="80"/>
        <v>0</v>
      </c>
      <c r="E541" t="s">
        <v>1713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1714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>
        <v>1</v>
      </c>
      <c r="X541" t="s">
        <v>2765</v>
      </c>
      <c r="Y541">
        <f t="shared" si="81"/>
        <v>0.1</v>
      </c>
      <c r="Z541">
        <f t="shared" si="82"/>
        <v>1904.4450000000002</v>
      </c>
      <c r="AA541">
        <f t="shared" si="83"/>
        <v>587.9050000000002</v>
      </c>
      <c r="AB541" s="7">
        <f t="shared" si="84"/>
        <v>0.30870148520960183</v>
      </c>
      <c r="AC541" t="str">
        <f t="shared" si="85"/>
        <v>July</v>
      </c>
      <c r="AD541">
        <f t="shared" si="86"/>
        <v>2025</v>
      </c>
      <c r="AE541" t="str">
        <f t="shared" si="87"/>
        <v>Clean</v>
      </c>
      <c r="AF541" t="str">
        <f t="shared" si="88"/>
        <v>Match</v>
      </c>
      <c r="AG541" t="str">
        <f t="shared" si="89"/>
        <v>Match</v>
      </c>
    </row>
    <row r="542" spans="1:33">
      <c r="A542" t="s">
        <v>1715</v>
      </c>
      <c r="B542" s="3">
        <v>45348</v>
      </c>
      <c r="C542" s="3">
        <v>45345</v>
      </c>
      <c r="D542">
        <f t="shared" si="80"/>
        <v>-3</v>
      </c>
      <c r="E542" t="s">
        <v>1716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1717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>
        <v>1</v>
      </c>
      <c r="X542" t="s">
        <v>2765</v>
      </c>
      <c r="Y542">
        <f t="shared" si="81"/>
        <v>0.2</v>
      </c>
      <c r="Z542">
        <f t="shared" si="82"/>
        <v>21571.592000000004</v>
      </c>
      <c r="AA542">
        <f t="shared" si="83"/>
        <v>4453.5220000000045</v>
      </c>
      <c r="AB542" s="7">
        <f t="shared" si="84"/>
        <v>0.20645309813017063</v>
      </c>
      <c r="AC542" t="str">
        <f t="shared" si="85"/>
        <v>February</v>
      </c>
      <c r="AD542">
        <f t="shared" si="86"/>
        <v>2024</v>
      </c>
      <c r="AE542" t="str">
        <f t="shared" si="87"/>
        <v>Invalid</v>
      </c>
      <c r="AF542" t="str">
        <f t="shared" si="88"/>
        <v>Match</v>
      </c>
      <c r="AG542" t="str">
        <f t="shared" si="89"/>
        <v>Match</v>
      </c>
    </row>
    <row r="543" spans="1:33">
      <c r="A543" t="s">
        <v>1718</v>
      </c>
      <c r="B543" s="3">
        <v>45846</v>
      </c>
      <c r="C543" s="3">
        <v>45847</v>
      </c>
      <c r="D543">
        <f t="shared" si="80"/>
        <v>1</v>
      </c>
      <c r="E543" t="s">
        <v>1719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1720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>
        <v>1</v>
      </c>
      <c r="X543" t="s">
        <v>2765</v>
      </c>
      <c r="Y543">
        <f t="shared" si="81"/>
        <v>0</v>
      </c>
      <c r="Z543">
        <f t="shared" si="82"/>
        <v>8641.68</v>
      </c>
      <c r="AA543">
        <f t="shared" si="83"/>
        <v>2894.59</v>
      </c>
      <c r="AB543" s="7">
        <f t="shared" si="84"/>
        <v>0.33495686024013849</v>
      </c>
      <c r="AC543" t="str">
        <f t="shared" si="85"/>
        <v>July</v>
      </c>
      <c r="AD543">
        <f t="shared" si="86"/>
        <v>2025</v>
      </c>
      <c r="AE543" t="str">
        <f t="shared" si="87"/>
        <v>Clean</v>
      </c>
      <c r="AF543" t="str">
        <f t="shared" si="88"/>
        <v>Match</v>
      </c>
      <c r="AG543" t="str">
        <f t="shared" si="89"/>
        <v>Match</v>
      </c>
    </row>
    <row r="544" spans="1:33">
      <c r="A544" t="s">
        <v>1721</v>
      </c>
      <c r="B544" s="3">
        <v>45552</v>
      </c>
      <c r="C544" s="3">
        <v>45558</v>
      </c>
      <c r="D544">
        <f t="shared" si="80"/>
        <v>6</v>
      </c>
      <c r="E544" t="s">
        <v>1722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1723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>
        <v>1</v>
      </c>
      <c r="X544" t="s">
        <v>2765</v>
      </c>
      <c r="Y544">
        <f t="shared" si="81"/>
        <v>0.2</v>
      </c>
      <c r="Z544">
        <f t="shared" si="82"/>
        <v>9762.2880000000005</v>
      </c>
      <c r="AA544">
        <f t="shared" si="83"/>
        <v>1394.0480000000007</v>
      </c>
      <c r="AB544" s="7">
        <f t="shared" si="84"/>
        <v>0.14279931098119628</v>
      </c>
      <c r="AC544" t="str">
        <f t="shared" si="85"/>
        <v>September</v>
      </c>
      <c r="AD544">
        <f t="shared" si="86"/>
        <v>2024</v>
      </c>
      <c r="AE544" t="str">
        <f t="shared" si="87"/>
        <v>Clean</v>
      </c>
      <c r="AF544" t="str">
        <f t="shared" si="88"/>
        <v>Mismatch</v>
      </c>
      <c r="AG544" t="str">
        <f t="shared" si="89"/>
        <v>Match</v>
      </c>
    </row>
    <row r="545" spans="1:33">
      <c r="A545" t="s">
        <v>1724</v>
      </c>
      <c r="B545" s="3">
        <v>45487</v>
      </c>
      <c r="C545" s="3">
        <v>45493</v>
      </c>
      <c r="D545">
        <f t="shared" si="80"/>
        <v>6</v>
      </c>
      <c r="E545" t="s">
        <v>1725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1726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>
        <v>1</v>
      </c>
      <c r="X545" t="s">
        <v>2765</v>
      </c>
      <c r="Y545">
        <f t="shared" si="81"/>
        <v>0.15</v>
      </c>
      <c r="Z545">
        <f t="shared" si="82"/>
        <v>418.76949999999999</v>
      </c>
      <c r="AA545">
        <f t="shared" si="83"/>
        <v>105.04949999999997</v>
      </c>
      <c r="AB545" s="7">
        <f t="shared" si="84"/>
        <v>0.25085279610859906</v>
      </c>
      <c r="AC545" t="str">
        <f t="shared" si="85"/>
        <v>July</v>
      </c>
      <c r="AD545">
        <f t="shared" si="86"/>
        <v>2024</v>
      </c>
      <c r="AE545" t="str">
        <f t="shared" si="87"/>
        <v>Clean</v>
      </c>
      <c r="AF545" t="str">
        <f t="shared" si="88"/>
        <v>Match</v>
      </c>
      <c r="AG545" t="str">
        <f t="shared" si="89"/>
        <v>Match</v>
      </c>
    </row>
    <row r="546" spans="1:33">
      <c r="A546" t="s">
        <v>1727</v>
      </c>
      <c r="B546" s="3">
        <v>45686</v>
      </c>
      <c r="C546" s="3">
        <v>45693</v>
      </c>
      <c r="D546">
        <f t="shared" si="80"/>
        <v>7</v>
      </c>
      <c r="E546" t="s">
        <v>1728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1729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>
        <v>1</v>
      </c>
      <c r="X546" t="s">
        <v>2765</v>
      </c>
      <c r="Y546">
        <f t="shared" si="81"/>
        <v>0.25</v>
      </c>
      <c r="Z546">
        <f t="shared" si="82"/>
        <v>21861.72</v>
      </c>
      <c r="AA546">
        <f t="shared" si="83"/>
        <v>3397.380000000001</v>
      </c>
      <c r="AB546" s="7">
        <f t="shared" si="84"/>
        <v>0.1554031430280875</v>
      </c>
      <c r="AC546" t="str">
        <f t="shared" si="85"/>
        <v>January</v>
      </c>
      <c r="AD546">
        <f t="shared" si="86"/>
        <v>2025</v>
      </c>
      <c r="AE546" t="str">
        <f t="shared" si="87"/>
        <v>Clean</v>
      </c>
      <c r="AF546" t="str">
        <f t="shared" si="88"/>
        <v>Match</v>
      </c>
      <c r="AG546" t="str">
        <f t="shared" si="89"/>
        <v>Match</v>
      </c>
    </row>
    <row r="547" spans="1:33">
      <c r="A547" t="s">
        <v>1730</v>
      </c>
      <c r="B547" s="3">
        <v>45439</v>
      </c>
      <c r="C547" s="3">
        <v>45442</v>
      </c>
      <c r="D547">
        <f t="shared" si="80"/>
        <v>3</v>
      </c>
      <c r="E547" t="s">
        <v>1731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1732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>
        <v>1</v>
      </c>
      <c r="X547" t="s">
        <v>2765</v>
      </c>
      <c r="Y547">
        <f t="shared" si="81"/>
        <v>0.15</v>
      </c>
      <c r="Z547">
        <f t="shared" si="82"/>
        <v>17260.116999999998</v>
      </c>
      <c r="AA547">
        <f t="shared" si="83"/>
        <v>3746.6069999999982</v>
      </c>
      <c r="AB547" s="7">
        <f t="shared" si="84"/>
        <v>0.21706730029697935</v>
      </c>
      <c r="AC547" t="str">
        <f t="shared" si="85"/>
        <v>May</v>
      </c>
      <c r="AD547">
        <f t="shared" si="86"/>
        <v>2024</v>
      </c>
      <c r="AE547" t="str">
        <f t="shared" si="87"/>
        <v>Clean</v>
      </c>
      <c r="AF547" t="str">
        <f t="shared" si="88"/>
        <v>Match</v>
      </c>
      <c r="AG547" t="str">
        <f t="shared" si="89"/>
        <v>Match</v>
      </c>
    </row>
    <row r="548" spans="1:33">
      <c r="A548" t="s">
        <v>1733</v>
      </c>
      <c r="B548" s="3">
        <v>45883</v>
      </c>
      <c r="C548" s="3">
        <v>45891</v>
      </c>
      <c r="D548">
        <f t="shared" si="80"/>
        <v>8</v>
      </c>
      <c r="E548" t="s">
        <v>1734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1735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>
        <v>1</v>
      </c>
      <c r="X548" t="s">
        <v>2765</v>
      </c>
      <c r="Y548">
        <f t="shared" si="81"/>
        <v>0.15</v>
      </c>
      <c r="Z548">
        <f t="shared" si="82"/>
        <v>10911.322499999998</v>
      </c>
      <c r="AA548">
        <f t="shared" si="83"/>
        <v>3944.8824999999988</v>
      </c>
      <c r="AB548" s="7">
        <f t="shared" si="84"/>
        <v>0.36154027158486052</v>
      </c>
      <c r="AC548" t="str">
        <f t="shared" si="85"/>
        <v>August</v>
      </c>
      <c r="AD548">
        <f t="shared" si="86"/>
        <v>2025</v>
      </c>
      <c r="AE548" t="str">
        <f t="shared" si="87"/>
        <v>Clean</v>
      </c>
      <c r="AF548" t="str">
        <f t="shared" si="88"/>
        <v>Match</v>
      </c>
      <c r="AG548" t="str">
        <f t="shared" si="89"/>
        <v>Mismatch</v>
      </c>
    </row>
    <row r="549" spans="1:33">
      <c r="A549" t="s">
        <v>1736</v>
      </c>
      <c r="B549" s="3">
        <v>45428</v>
      </c>
      <c r="C549" s="3">
        <v>45435</v>
      </c>
      <c r="D549">
        <f t="shared" si="80"/>
        <v>7</v>
      </c>
      <c r="E549" t="s">
        <v>1737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1738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>
        <v>1</v>
      </c>
      <c r="X549" t="s">
        <v>2765</v>
      </c>
      <c r="Y549">
        <f t="shared" si="81"/>
        <v>0.1</v>
      </c>
      <c r="Z549">
        <f t="shared" si="82"/>
        <v>30148.929</v>
      </c>
      <c r="AA549">
        <f t="shared" si="83"/>
        <v>4993.8590000000004</v>
      </c>
      <c r="AB549" s="7">
        <f t="shared" si="84"/>
        <v>0.16563968159532302</v>
      </c>
      <c r="AC549" t="str">
        <f t="shared" si="85"/>
        <v>May</v>
      </c>
      <c r="AD549">
        <f t="shared" si="86"/>
        <v>2024</v>
      </c>
      <c r="AE549" t="str">
        <f t="shared" si="87"/>
        <v>Clean</v>
      </c>
      <c r="AF549" t="str">
        <f t="shared" si="88"/>
        <v>Match</v>
      </c>
      <c r="AG549" t="str">
        <f t="shared" si="89"/>
        <v>Match</v>
      </c>
    </row>
    <row r="550" spans="1:33">
      <c r="A550" t="s">
        <v>1739</v>
      </c>
      <c r="B550" s="3">
        <v>45441</v>
      </c>
      <c r="C550" s="3">
        <v>45441</v>
      </c>
      <c r="D550">
        <f t="shared" si="80"/>
        <v>0</v>
      </c>
      <c r="E550" t="s">
        <v>1740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1741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>
        <v>1</v>
      </c>
      <c r="X550" t="s">
        <v>2765</v>
      </c>
      <c r="Y550">
        <f t="shared" si="81"/>
        <v>0</v>
      </c>
      <c r="Z550">
        <f t="shared" si="82"/>
        <v>1072.01</v>
      </c>
      <c r="AA550">
        <f t="shared" si="83"/>
        <v>219.39</v>
      </c>
      <c r="AB550" s="7">
        <f t="shared" si="84"/>
        <v>0.20465294167032022</v>
      </c>
      <c r="AC550" t="str">
        <f t="shared" si="85"/>
        <v>May</v>
      </c>
      <c r="AD550">
        <f t="shared" si="86"/>
        <v>2024</v>
      </c>
      <c r="AE550" t="str">
        <f t="shared" si="87"/>
        <v>Clean</v>
      </c>
      <c r="AF550" t="str">
        <f t="shared" si="88"/>
        <v>Match</v>
      </c>
      <c r="AG550" t="str">
        <f t="shared" si="89"/>
        <v>Match</v>
      </c>
    </row>
    <row r="551" spans="1:33">
      <c r="A551" t="s">
        <v>1742</v>
      </c>
      <c r="B551" s="3">
        <v>45941</v>
      </c>
      <c r="C551" s="3">
        <v>45943</v>
      </c>
      <c r="D551">
        <f t="shared" si="80"/>
        <v>2</v>
      </c>
      <c r="E551" t="s">
        <v>1743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1744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>
        <v>1</v>
      </c>
      <c r="X551" t="s">
        <v>2765</v>
      </c>
      <c r="Y551">
        <f t="shared" si="81"/>
        <v>0.1</v>
      </c>
      <c r="Z551">
        <f t="shared" si="82"/>
        <v>10271.529</v>
      </c>
      <c r="AA551">
        <f t="shared" si="83"/>
        <v>1999.2890000000007</v>
      </c>
      <c r="AB551" s="7">
        <f t="shared" si="84"/>
        <v>0.19464375751652949</v>
      </c>
      <c r="AC551" t="str">
        <f t="shared" si="85"/>
        <v>October</v>
      </c>
      <c r="AD551">
        <f t="shared" si="86"/>
        <v>2025</v>
      </c>
      <c r="AE551" t="str">
        <f t="shared" si="87"/>
        <v>Clean</v>
      </c>
      <c r="AF551" t="str">
        <f t="shared" si="88"/>
        <v>Match</v>
      </c>
      <c r="AG551" t="str">
        <f t="shared" si="89"/>
        <v>Match</v>
      </c>
    </row>
    <row r="552" spans="1:33">
      <c r="A552" t="s">
        <v>1745</v>
      </c>
      <c r="B552" s="3">
        <v>45506</v>
      </c>
      <c r="C552" s="3">
        <v>45514</v>
      </c>
      <c r="D552">
        <f t="shared" si="80"/>
        <v>8</v>
      </c>
      <c r="E552" t="s">
        <v>1746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1747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>
        <v>1</v>
      </c>
      <c r="X552" t="s">
        <v>2765</v>
      </c>
      <c r="Y552">
        <f t="shared" si="81"/>
        <v>0.2</v>
      </c>
      <c r="Z552">
        <f t="shared" si="82"/>
        <v>10206.912</v>
      </c>
      <c r="AA552">
        <f t="shared" si="83"/>
        <v>3442.3820000000005</v>
      </c>
      <c r="AB552" s="7">
        <f t="shared" si="84"/>
        <v>0.33725988820125036</v>
      </c>
      <c r="AC552" t="str">
        <f t="shared" si="85"/>
        <v>August</v>
      </c>
      <c r="AD552">
        <f t="shared" si="86"/>
        <v>2024</v>
      </c>
      <c r="AE552" t="str">
        <f t="shared" si="87"/>
        <v>Clean</v>
      </c>
      <c r="AF552" t="str">
        <f t="shared" si="88"/>
        <v>Match</v>
      </c>
      <c r="AG552" t="str">
        <f t="shared" si="89"/>
        <v>Match</v>
      </c>
    </row>
    <row r="553" spans="1:33">
      <c r="A553" t="s">
        <v>1748</v>
      </c>
      <c r="B553" s="3">
        <v>45349</v>
      </c>
      <c r="C553" s="3">
        <v>45349</v>
      </c>
      <c r="D553">
        <f t="shared" si="80"/>
        <v>0</v>
      </c>
      <c r="E553" t="s">
        <v>1749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1750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>
        <v>1</v>
      </c>
      <c r="X553" t="s">
        <v>2765</v>
      </c>
      <c r="Y553">
        <f t="shared" si="81"/>
        <v>0.15</v>
      </c>
      <c r="Z553">
        <f t="shared" si="82"/>
        <v>8027.6295</v>
      </c>
      <c r="AA553">
        <f t="shared" si="83"/>
        <v>2531.5394999999999</v>
      </c>
      <c r="AB553" s="7">
        <f t="shared" si="84"/>
        <v>0.31535330572991688</v>
      </c>
      <c r="AC553" t="str">
        <f t="shared" si="85"/>
        <v>February</v>
      </c>
      <c r="AD553">
        <f t="shared" si="86"/>
        <v>2024</v>
      </c>
      <c r="AE553" t="str">
        <f t="shared" si="87"/>
        <v>Clean</v>
      </c>
      <c r="AF553" t="str">
        <f t="shared" si="88"/>
        <v>Match</v>
      </c>
      <c r="AG553" t="str">
        <f t="shared" si="89"/>
        <v>Match</v>
      </c>
    </row>
    <row r="554" spans="1:33">
      <c r="A554" t="s">
        <v>1751</v>
      </c>
      <c r="B554" s="3">
        <v>45681</v>
      </c>
      <c r="C554" s="3">
        <v>45687</v>
      </c>
      <c r="D554">
        <f t="shared" si="80"/>
        <v>6</v>
      </c>
      <c r="E554" t="s">
        <v>1752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1753</v>
      </c>
      <c r="N554" t="s">
        <v>59</v>
      </c>
      <c r="O554">
        <v>8</v>
      </c>
      <c r="P554">
        <v>312.52999999999997</v>
      </c>
      <c r="Q554" s="5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>
        <v>1</v>
      </c>
      <c r="X554" t="s">
        <v>2765</v>
      </c>
      <c r="Y554">
        <f t="shared" si="81"/>
        <v>0.7</v>
      </c>
      <c r="Z554">
        <f t="shared" si="82"/>
        <v>750.072</v>
      </c>
      <c r="AA554">
        <f t="shared" si="83"/>
        <v>-829.09800000000007</v>
      </c>
      <c r="AB554" s="7">
        <f t="shared" si="84"/>
        <v>-1.1053578856429784</v>
      </c>
      <c r="AC554" t="str">
        <f t="shared" si="85"/>
        <v>January</v>
      </c>
      <c r="AD554">
        <f t="shared" si="86"/>
        <v>2025</v>
      </c>
      <c r="AE554" t="str">
        <f t="shared" si="87"/>
        <v>Clean</v>
      </c>
      <c r="AF554" t="str">
        <f t="shared" si="88"/>
        <v>Mismatch</v>
      </c>
      <c r="AG554" t="str">
        <f t="shared" si="89"/>
        <v>Mismatch</v>
      </c>
    </row>
    <row r="555" spans="1:33">
      <c r="A555" t="s">
        <v>1754</v>
      </c>
      <c r="B555" s="3">
        <v>45772</v>
      </c>
      <c r="C555" s="3">
        <v>45775</v>
      </c>
      <c r="D555">
        <f t="shared" si="80"/>
        <v>3</v>
      </c>
      <c r="E555" t="s">
        <v>1755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1756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>
        <v>1</v>
      </c>
      <c r="X555" t="s">
        <v>2765</v>
      </c>
      <c r="Y555">
        <f t="shared" si="81"/>
        <v>0.25</v>
      </c>
      <c r="Z555">
        <f t="shared" si="82"/>
        <v>8735.2425000000003</v>
      </c>
      <c r="AA555">
        <f t="shared" si="83"/>
        <v>2115.1725000000006</v>
      </c>
      <c r="AB555" s="7">
        <f t="shared" si="84"/>
        <v>0.24214239043735769</v>
      </c>
      <c r="AC555" t="str">
        <f t="shared" si="85"/>
        <v>April</v>
      </c>
      <c r="AD555">
        <f t="shared" si="86"/>
        <v>2025</v>
      </c>
      <c r="AE555" t="str">
        <f t="shared" si="87"/>
        <v>Clean</v>
      </c>
      <c r="AF555" t="str">
        <f t="shared" si="88"/>
        <v>Match</v>
      </c>
      <c r="AG555" t="str">
        <f t="shared" si="89"/>
        <v>Match</v>
      </c>
    </row>
    <row r="556" spans="1:33">
      <c r="A556" t="s">
        <v>1757</v>
      </c>
      <c r="B556" s="3">
        <v>45577</v>
      </c>
      <c r="C556" s="3">
        <v>45582</v>
      </c>
      <c r="D556">
        <f t="shared" si="80"/>
        <v>5</v>
      </c>
      <c r="E556" t="s">
        <v>1758</v>
      </c>
      <c r="F556" t="s">
        <v>53</v>
      </c>
      <c r="G556" t="s">
        <v>24</v>
      </c>
      <c r="H556" t="s">
        <v>2760</v>
      </c>
      <c r="I556" t="s">
        <v>228</v>
      </c>
      <c r="J556" t="s">
        <v>229</v>
      </c>
      <c r="K556" t="s">
        <v>41</v>
      </c>
      <c r="L556" t="s">
        <v>57</v>
      </c>
      <c r="M556" t="s">
        <v>1759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>
        <v>1</v>
      </c>
      <c r="X556" t="s">
        <v>2765</v>
      </c>
      <c r="Y556">
        <f t="shared" si="81"/>
        <v>0.05</v>
      </c>
      <c r="Z556">
        <f t="shared" si="82"/>
        <v>4070.636</v>
      </c>
      <c r="AA556">
        <f t="shared" si="83"/>
        <v>1239.0160000000001</v>
      </c>
      <c r="AB556" s="7">
        <f t="shared" si="84"/>
        <v>0.30437897173807732</v>
      </c>
      <c r="AC556" t="str">
        <f t="shared" si="85"/>
        <v>October</v>
      </c>
      <c r="AD556">
        <f t="shared" si="86"/>
        <v>2024</v>
      </c>
      <c r="AE556" t="str">
        <f t="shared" si="87"/>
        <v>Clean</v>
      </c>
      <c r="AF556" t="str">
        <f t="shared" si="88"/>
        <v>Match</v>
      </c>
      <c r="AG556" t="str">
        <f t="shared" si="89"/>
        <v>Match</v>
      </c>
    </row>
    <row r="557" spans="1:33">
      <c r="A557" t="s">
        <v>1760</v>
      </c>
      <c r="B557" s="3">
        <v>45692</v>
      </c>
      <c r="C557" s="3">
        <v>45698</v>
      </c>
      <c r="D557">
        <f t="shared" si="80"/>
        <v>6</v>
      </c>
      <c r="E557" t="s">
        <v>1761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1762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>
        <v>1</v>
      </c>
      <c r="X557" t="s">
        <v>2765</v>
      </c>
      <c r="Y557">
        <f t="shared" si="81"/>
        <v>0.05</v>
      </c>
      <c r="Z557">
        <f t="shared" si="82"/>
        <v>5943.9599999999991</v>
      </c>
      <c r="AA557">
        <f t="shared" si="83"/>
        <v>2339.8199999999993</v>
      </c>
      <c r="AB557" s="7">
        <f t="shared" si="84"/>
        <v>0.39364665980255581</v>
      </c>
      <c r="AC557" t="str">
        <f t="shared" si="85"/>
        <v>February</v>
      </c>
      <c r="AD557">
        <f t="shared" si="86"/>
        <v>2025</v>
      </c>
      <c r="AE557" t="str">
        <f t="shared" si="87"/>
        <v>Clean</v>
      </c>
      <c r="AF557" t="str">
        <f t="shared" si="88"/>
        <v>Match</v>
      </c>
      <c r="AG557" t="str">
        <f t="shared" si="89"/>
        <v>Match</v>
      </c>
    </row>
    <row r="558" spans="1:33">
      <c r="A558" t="s">
        <v>1763</v>
      </c>
      <c r="B558" s="3">
        <v>45466</v>
      </c>
      <c r="C558" s="3">
        <v>45472</v>
      </c>
      <c r="D558">
        <f t="shared" si="80"/>
        <v>6</v>
      </c>
      <c r="E558" t="s">
        <v>1764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1765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>
        <v>1</v>
      </c>
      <c r="X558" t="s">
        <v>2765</v>
      </c>
      <c r="Y558">
        <f t="shared" si="81"/>
        <v>0</v>
      </c>
      <c r="Z558">
        <f t="shared" si="82"/>
        <v>4426.66</v>
      </c>
      <c r="AA558">
        <f t="shared" si="83"/>
        <v>1391.46</v>
      </c>
      <c r="AB558" s="7">
        <f t="shared" si="84"/>
        <v>0.31433631677156143</v>
      </c>
      <c r="AC558" t="str">
        <f t="shared" si="85"/>
        <v>June</v>
      </c>
      <c r="AD558">
        <f t="shared" si="86"/>
        <v>2024</v>
      </c>
      <c r="AE558" t="str">
        <f t="shared" si="87"/>
        <v>Clean</v>
      </c>
      <c r="AF558" t="str">
        <f t="shared" si="88"/>
        <v>Match</v>
      </c>
      <c r="AG558" t="str">
        <f t="shared" si="89"/>
        <v>Mismatch</v>
      </c>
    </row>
    <row r="559" spans="1:33">
      <c r="A559" t="s">
        <v>1766</v>
      </c>
      <c r="B559" s="3">
        <v>45420</v>
      </c>
      <c r="C559" s="3">
        <v>45426</v>
      </c>
      <c r="D559">
        <f t="shared" si="80"/>
        <v>6</v>
      </c>
      <c r="E559" t="s">
        <v>1767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1768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>
        <v>1</v>
      </c>
      <c r="X559" t="s">
        <v>2765</v>
      </c>
      <c r="Y559">
        <f t="shared" si="81"/>
        <v>0.05</v>
      </c>
      <c r="Z559">
        <f t="shared" si="82"/>
        <v>32228.882999999998</v>
      </c>
      <c r="AA559">
        <f t="shared" si="83"/>
        <v>7257.5229999999974</v>
      </c>
      <c r="AB559" s="7">
        <f t="shared" si="84"/>
        <v>0.22518692317074712</v>
      </c>
      <c r="AC559" t="str">
        <f t="shared" si="85"/>
        <v>May</v>
      </c>
      <c r="AD559">
        <f t="shared" si="86"/>
        <v>2024</v>
      </c>
      <c r="AE559" t="str">
        <f t="shared" si="87"/>
        <v>Clean</v>
      </c>
      <c r="AF559" t="str">
        <f t="shared" si="88"/>
        <v>Match</v>
      </c>
      <c r="AG559" t="str">
        <f t="shared" si="89"/>
        <v>Match</v>
      </c>
    </row>
    <row r="560" spans="1:33">
      <c r="A560" t="s">
        <v>1769</v>
      </c>
      <c r="B560" s="3">
        <v>45904</v>
      </c>
      <c r="C560" s="3">
        <v>45904</v>
      </c>
      <c r="D560">
        <f t="shared" si="80"/>
        <v>0</v>
      </c>
      <c r="E560" t="s">
        <v>1770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1771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>
        <v>1</v>
      </c>
      <c r="X560" t="s">
        <v>2765</v>
      </c>
      <c r="Y560">
        <f t="shared" si="81"/>
        <v>0.2</v>
      </c>
      <c r="Z560">
        <f t="shared" si="82"/>
        <v>19711.68</v>
      </c>
      <c r="AA560">
        <f t="shared" si="83"/>
        <v>5249.880000000001</v>
      </c>
      <c r="AB560" s="7">
        <f t="shared" si="84"/>
        <v>0.26633346320557155</v>
      </c>
      <c r="AC560" t="str">
        <f t="shared" si="85"/>
        <v>September</v>
      </c>
      <c r="AD560">
        <f t="shared" si="86"/>
        <v>2025</v>
      </c>
      <c r="AE560" t="str">
        <f t="shared" si="87"/>
        <v>Clean</v>
      </c>
      <c r="AF560" t="str">
        <f t="shared" si="88"/>
        <v>Match</v>
      </c>
      <c r="AG560" t="str">
        <f t="shared" si="89"/>
        <v>Match</v>
      </c>
    </row>
    <row r="561" spans="1:33">
      <c r="A561" t="s">
        <v>1772</v>
      </c>
      <c r="B561" s="3">
        <v>45930</v>
      </c>
      <c r="C561" s="3">
        <v>45937</v>
      </c>
      <c r="D561">
        <f t="shared" si="80"/>
        <v>7</v>
      </c>
      <c r="E561" t="s">
        <v>1773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1774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>
        <v>1</v>
      </c>
      <c r="X561" t="s">
        <v>2765</v>
      </c>
      <c r="Y561">
        <f t="shared" si="81"/>
        <v>0.1</v>
      </c>
      <c r="Z561">
        <f t="shared" si="82"/>
        <v>14750.190000000002</v>
      </c>
      <c r="AA561">
        <f t="shared" si="83"/>
        <v>5267.6100000000024</v>
      </c>
      <c r="AB561" s="7">
        <f t="shared" si="84"/>
        <v>0.35712150148574368</v>
      </c>
      <c r="AC561" t="str">
        <f t="shared" si="85"/>
        <v>September</v>
      </c>
      <c r="AD561">
        <f t="shared" si="86"/>
        <v>2025</v>
      </c>
      <c r="AE561" t="str">
        <f t="shared" si="87"/>
        <v>Clean</v>
      </c>
      <c r="AF561" t="str">
        <f t="shared" si="88"/>
        <v>Match</v>
      </c>
      <c r="AG561" t="str">
        <f t="shared" si="89"/>
        <v>Match</v>
      </c>
    </row>
    <row r="562" spans="1:33">
      <c r="A562" t="s">
        <v>1775</v>
      </c>
      <c r="B562" s="3">
        <v>45307</v>
      </c>
      <c r="C562" s="3">
        <v>45313</v>
      </c>
      <c r="D562">
        <f t="shared" si="80"/>
        <v>6</v>
      </c>
      <c r="E562" t="s">
        <v>1776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1777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>
        <v>1</v>
      </c>
      <c r="X562" t="s">
        <v>2765</v>
      </c>
      <c r="Y562">
        <f t="shared" si="81"/>
        <v>0</v>
      </c>
      <c r="Z562">
        <f t="shared" si="82"/>
        <v>1130.1199999999999</v>
      </c>
      <c r="AA562">
        <f t="shared" si="83"/>
        <v>281.49999999999989</v>
      </c>
      <c r="AB562" s="7">
        <f t="shared" si="84"/>
        <v>0.249088592361873</v>
      </c>
      <c r="AC562" t="str">
        <f t="shared" si="85"/>
        <v>January</v>
      </c>
      <c r="AD562">
        <f t="shared" si="86"/>
        <v>2024</v>
      </c>
      <c r="AE562" t="str">
        <f t="shared" si="87"/>
        <v>Clean</v>
      </c>
      <c r="AF562" t="str">
        <f t="shared" si="88"/>
        <v>Match</v>
      </c>
      <c r="AG562" t="str">
        <f t="shared" si="89"/>
        <v>Match</v>
      </c>
    </row>
    <row r="563" spans="1:33">
      <c r="A563" t="s">
        <v>1778</v>
      </c>
      <c r="B563" s="3">
        <v>45852</v>
      </c>
      <c r="C563" s="3">
        <v>45856</v>
      </c>
      <c r="D563">
        <f t="shared" si="80"/>
        <v>4</v>
      </c>
      <c r="E563" t="s">
        <v>1779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1780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>
        <v>1</v>
      </c>
      <c r="X563" t="s">
        <v>2765</v>
      </c>
      <c r="Y563">
        <f t="shared" si="81"/>
        <v>0</v>
      </c>
      <c r="Z563">
        <f t="shared" si="82"/>
        <v>2900.88</v>
      </c>
      <c r="AA563">
        <f t="shared" si="83"/>
        <v>509.0300000000002</v>
      </c>
      <c r="AB563" s="7">
        <f t="shared" si="84"/>
        <v>0.17547433882132324</v>
      </c>
      <c r="AC563" t="str">
        <f t="shared" si="85"/>
        <v>July</v>
      </c>
      <c r="AD563">
        <f t="shared" si="86"/>
        <v>2025</v>
      </c>
      <c r="AE563" t="str">
        <f t="shared" si="87"/>
        <v>Clean</v>
      </c>
      <c r="AF563" t="str">
        <f t="shared" si="88"/>
        <v>Match</v>
      </c>
      <c r="AG563" t="str">
        <f t="shared" si="89"/>
        <v>Match</v>
      </c>
    </row>
    <row r="564" spans="1:33">
      <c r="A564" t="s">
        <v>1781</v>
      </c>
      <c r="B564" s="3">
        <v>45422</v>
      </c>
      <c r="C564" s="3">
        <v>45428</v>
      </c>
      <c r="D564">
        <f t="shared" si="80"/>
        <v>6</v>
      </c>
      <c r="E564" t="s">
        <v>1782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1783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>
        <v>1</v>
      </c>
      <c r="X564" t="s">
        <v>2765</v>
      </c>
      <c r="Y564">
        <f t="shared" si="81"/>
        <v>0.2</v>
      </c>
      <c r="Z564">
        <f t="shared" si="82"/>
        <v>680.62400000000014</v>
      </c>
      <c r="AA564">
        <f t="shared" si="83"/>
        <v>217.13400000000013</v>
      </c>
      <c r="AB564" s="7">
        <f t="shared" si="84"/>
        <v>0.31902195632243363</v>
      </c>
      <c r="AC564" t="str">
        <f t="shared" si="85"/>
        <v>May</v>
      </c>
      <c r="AD564">
        <f t="shared" si="86"/>
        <v>2024</v>
      </c>
      <c r="AE564" t="str">
        <f t="shared" si="87"/>
        <v>Clean</v>
      </c>
      <c r="AF564" t="str">
        <f t="shared" si="88"/>
        <v>Match</v>
      </c>
      <c r="AG564" t="str">
        <f t="shared" si="89"/>
        <v>Match</v>
      </c>
    </row>
    <row r="565" spans="1:33">
      <c r="A565" t="s">
        <v>1784</v>
      </c>
      <c r="B565" s="3">
        <v>45418</v>
      </c>
      <c r="C565" s="3">
        <v>45424</v>
      </c>
      <c r="D565">
        <f t="shared" si="80"/>
        <v>6</v>
      </c>
      <c r="E565" t="s">
        <v>1785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1786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>
        <v>1</v>
      </c>
      <c r="X565" t="s">
        <v>2765</v>
      </c>
      <c r="Y565">
        <f t="shared" si="81"/>
        <v>0.2</v>
      </c>
      <c r="Z565">
        <f t="shared" si="82"/>
        <v>5694.9840000000004</v>
      </c>
      <c r="AA565">
        <f t="shared" si="83"/>
        <v>1076.6540000000005</v>
      </c>
      <c r="AB565" s="7">
        <f t="shared" si="84"/>
        <v>0.1890530333360024</v>
      </c>
      <c r="AC565" t="str">
        <f t="shared" si="85"/>
        <v>May</v>
      </c>
      <c r="AD565">
        <f t="shared" si="86"/>
        <v>2024</v>
      </c>
      <c r="AE565" t="str">
        <f t="shared" si="87"/>
        <v>Clean</v>
      </c>
      <c r="AF565" t="str">
        <f t="shared" si="88"/>
        <v>Match</v>
      </c>
      <c r="AG565" t="str">
        <f t="shared" si="89"/>
        <v>Match</v>
      </c>
    </row>
    <row r="566" spans="1:33">
      <c r="A566" t="s">
        <v>1787</v>
      </c>
      <c r="B566" s="3">
        <v>45606</v>
      </c>
      <c r="C566" s="3">
        <v>45610</v>
      </c>
      <c r="D566">
        <f t="shared" si="80"/>
        <v>4</v>
      </c>
      <c r="E566" t="s">
        <v>1788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1789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>
        <v>1</v>
      </c>
      <c r="X566" t="s">
        <v>2765</v>
      </c>
      <c r="Y566">
        <f t="shared" si="81"/>
        <v>0.2</v>
      </c>
      <c r="Z566">
        <f t="shared" si="82"/>
        <v>1474.1440000000002</v>
      </c>
      <c r="AA566">
        <f t="shared" si="83"/>
        <v>505.6840000000002</v>
      </c>
      <c r="AB566" s="7">
        <f t="shared" si="84"/>
        <v>0.34303568715132315</v>
      </c>
      <c r="AC566" t="str">
        <f t="shared" si="85"/>
        <v>November</v>
      </c>
      <c r="AD566">
        <f t="shared" si="86"/>
        <v>2024</v>
      </c>
      <c r="AE566" t="str">
        <f t="shared" si="87"/>
        <v>Clean</v>
      </c>
      <c r="AF566" t="str">
        <f t="shared" si="88"/>
        <v>Match</v>
      </c>
      <c r="AG566" t="str">
        <f t="shared" si="89"/>
        <v>Match</v>
      </c>
    </row>
    <row r="567" spans="1:33">
      <c r="A567" t="s">
        <v>1790</v>
      </c>
      <c r="B567" s="3">
        <v>45876</v>
      </c>
      <c r="C567" s="3">
        <v>45882</v>
      </c>
      <c r="D567">
        <f t="shared" si="80"/>
        <v>6</v>
      </c>
      <c r="E567" t="s">
        <v>1791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1792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>
        <v>1</v>
      </c>
      <c r="X567" t="s">
        <v>2765</v>
      </c>
      <c r="Y567">
        <f t="shared" si="81"/>
        <v>0.2</v>
      </c>
      <c r="Z567">
        <f t="shared" si="82"/>
        <v>9224.9279999999999</v>
      </c>
      <c r="AA567">
        <f t="shared" si="83"/>
        <v>2219.7280000000001</v>
      </c>
      <c r="AB567" s="7">
        <f t="shared" si="84"/>
        <v>0.24062279944081949</v>
      </c>
      <c r="AC567" t="str">
        <f t="shared" si="85"/>
        <v>August</v>
      </c>
      <c r="AD567">
        <f t="shared" si="86"/>
        <v>2025</v>
      </c>
      <c r="AE567" t="str">
        <f t="shared" si="87"/>
        <v>Clean</v>
      </c>
      <c r="AF567" t="str">
        <f t="shared" si="88"/>
        <v>Match</v>
      </c>
      <c r="AG567" t="str">
        <f t="shared" si="89"/>
        <v>Match</v>
      </c>
    </row>
    <row r="568" spans="1:33">
      <c r="A568" t="s">
        <v>1793</v>
      </c>
      <c r="B568" s="3">
        <v>45515</v>
      </c>
      <c r="C568" s="3">
        <v>45523</v>
      </c>
      <c r="D568">
        <f t="shared" si="80"/>
        <v>8</v>
      </c>
      <c r="E568" t="s">
        <v>1794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1795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>
        <v>1</v>
      </c>
      <c r="X568" t="s">
        <v>2765</v>
      </c>
      <c r="Y568">
        <f t="shared" si="81"/>
        <v>0.1</v>
      </c>
      <c r="Z568">
        <f t="shared" si="82"/>
        <v>4712.2020000000002</v>
      </c>
      <c r="AA568">
        <f t="shared" si="83"/>
        <v>860.29200000000037</v>
      </c>
      <c r="AB568" s="7">
        <f t="shared" si="84"/>
        <v>0.18256687637754077</v>
      </c>
      <c r="AC568" t="str">
        <f t="shared" si="85"/>
        <v>August</v>
      </c>
      <c r="AD568">
        <f t="shared" si="86"/>
        <v>2024</v>
      </c>
      <c r="AE568" t="str">
        <f t="shared" si="87"/>
        <v>Clean</v>
      </c>
      <c r="AF568" t="str">
        <f t="shared" si="88"/>
        <v>Match</v>
      </c>
      <c r="AG568" t="str">
        <f t="shared" si="89"/>
        <v>Match</v>
      </c>
    </row>
    <row r="569" spans="1:33">
      <c r="A569" t="s">
        <v>1796</v>
      </c>
      <c r="B569" s="3">
        <v>45328</v>
      </c>
      <c r="C569" s="3">
        <v>45332</v>
      </c>
      <c r="D569">
        <f t="shared" si="80"/>
        <v>4</v>
      </c>
      <c r="E569" t="s">
        <v>1797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596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>
        <v>1</v>
      </c>
      <c r="X569" t="s">
        <v>2765</v>
      </c>
      <c r="Y569">
        <f t="shared" si="81"/>
        <v>0.05</v>
      </c>
      <c r="Z569">
        <f t="shared" si="82"/>
        <v>1305.357</v>
      </c>
      <c r="AA569">
        <f t="shared" si="83"/>
        <v>573.46699999999998</v>
      </c>
      <c r="AB569" s="7">
        <f t="shared" si="84"/>
        <v>0.4393181328939133</v>
      </c>
      <c r="AC569" t="str">
        <f t="shared" si="85"/>
        <v>February</v>
      </c>
      <c r="AD569">
        <f t="shared" si="86"/>
        <v>2024</v>
      </c>
      <c r="AE569" t="str">
        <f t="shared" si="87"/>
        <v>Clean</v>
      </c>
      <c r="AF569" t="str">
        <f t="shared" si="88"/>
        <v>Match</v>
      </c>
      <c r="AG569" t="str">
        <f t="shared" si="89"/>
        <v>Match</v>
      </c>
    </row>
    <row r="570" spans="1:33">
      <c r="A570" t="s">
        <v>1798</v>
      </c>
      <c r="B570" s="3">
        <v>45312</v>
      </c>
      <c r="C570" s="3">
        <v>45315</v>
      </c>
      <c r="D570">
        <f t="shared" si="80"/>
        <v>3</v>
      </c>
      <c r="E570" t="s">
        <v>1799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1800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>
        <v>1</v>
      </c>
      <c r="X570" t="s">
        <v>2765</v>
      </c>
      <c r="Y570">
        <f t="shared" si="81"/>
        <v>0.25</v>
      </c>
      <c r="Z570">
        <f t="shared" si="82"/>
        <v>2854.7250000000004</v>
      </c>
      <c r="AA570">
        <f t="shared" si="83"/>
        <v>886.60500000000047</v>
      </c>
      <c r="AB570" s="7">
        <f t="shared" si="84"/>
        <v>0.31057457373302172</v>
      </c>
      <c r="AC570" t="str">
        <f t="shared" si="85"/>
        <v>January</v>
      </c>
      <c r="AD570">
        <f t="shared" si="86"/>
        <v>2024</v>
      </c>
      <c r="AE570" t="str">
        <f t="shared" si="87"/>
        <v>Clean</v>
      </c>
      <c r="AF570" t="str">
        <f t="shared" si="88"/>
        <v>Match</v>
      </c>
      <c r="AG570" t="str">
        <f t="shared" si="89"/>
        <v>Match</v>
      </c>
    </row>
    <row r="571" spans="1:33">
      <c r="A571" t="s">
        <v>1801</v>
      </c>
      <c r="B571" s="3">
        <v>45908</v>
      </c>
      <c r="C571" s="3">
        <v>45910</v>
      </c>
      <c r="D571">
        <f t="shared" si="80"/>
        <v>2</v>
      </c>
      <c r="E571" t="s">
        <v>1802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1803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>
        <v>1</v>
      </c>
      <c r="X571" t="s">
        <v>2765</v>
      </c>
      <c r="Y571">
        <f t="shared" si="81"/>
        <v>0.25</v>
      </c>
      <c r="Z571">
        <f t="shared" si="82"/>
        <v>14630.264999999999</v>
      </c>
      <c r="AA571">
        <f t="shared" si="83"/>
        <v>2723.9049999999988</v>
      </c>
      <c r="AB571" s="7">
        <f t="shared" si="84"/>
        <v>0.18618288868998606</v>
      </c>
      <c r="AC571" t="str">
        <f t="shared" si="85"/>
        <v>September</v>
      </c>
      <c r="AD571">
        <f t="shared" si="86"/>
        <v>2025</v>
      </c>
      <c r="AE571" t="str">
        <f t="shared" si="87"/>
        <v>Clean</v>
      </c>
      <c r="AF571" t="str">
        <f t="shared" si="88"/>
        <v>Match</v>
      </c>
      <c r="AG571" t="str">
        <f t="shared" si="89"/>
        <v>Match</v>
      </c>
    </row>
    <row r="572" spans="1:33">
      <c r="A572" t="s">
        <v>1804</v>
      </c>
      <c r="B572" s="3">
        <v>45887</v>
      </c>
      <c r="C572" s="3">
        <v>45891</v>
      </c>
      <c r="D572">
        <f t="shared" si="80"/>
        <v>4</v>
      </c>
      <c r="E572" t="s">
        <v>1805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1806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>
        <v>1</v>
      </c>
      <c r="X572" t="s">
        <v>2765</v>
      </c>
      <c r="Y572">
        <f t="shared" si="81"/>
        <v>0.25</v>
      </c>
      <c r="Z572">
        <f t="shared" si="82"/>
        <v>8879.49</v>
      </c>
      <c r="AA572">
        <f t="shared" si="83"/>
        <v>2534.92</v>
      </c>
      <c r="AB572" s="7">
        <f t="shared" si="84"/>
        <v>0.28548035979543873</v>
      </c>
      <c r="AC572" t="str">
        <f t="shared" si="85"/>
        <v>August</v>
      </c>
      <c r="AD572">
        <f t="shared" si="86"/>
        <v>2025</v>
      </c>
      <c r="AE572" t="str">
        <f t="shared" si="87"/>
        <v>Clean</v>
      </c>
      <c r="AF572" t="str">
        <f t="shared" si="88"/>
        <v>Match</v>
      </c>
      <c r="AG572" t="str">
        <f t="shared" si="89"/>
        <v>Match</v>
      </c>
    </row>
    <row r="573" spans="1:33">
      <c r="A573" t="s">
        <v>1807</v>
      </c>
      <c r="B573" s="3">
        <v>45698</v>
      </c>
      <c r="C573" s="3">
        <v>45702</v>
      </c>
      <c r="D573">
        <f t="shared" si="80"/>
        <v>4</v>
      </c>
      <c r="E573" t="s">
        <v>1808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1809</v>
      </c>
      <c r="N573" t="s">
        <v>2760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>
        <v>2</v>
      </c>
      <c r="X573" t="s">
        <v>2764</v>
      </c>
      <c r="Y573">
        <f t="shared" si="81"/>
        <v>0</v>
      </c>
      <c r="Z573">
        <f t="shared" si="82"/>
        <v>21381.45</v>
      </c>
      <c r="AA573">
        <f t="shared" si="83"/>
        <v>8141.2400000000016</v>
      </c>
      <c r="AB573" s="7">
        <f t="shared" si="84"/>
        <v>0.38076182859441249</v>
      </c>
      <c r="AC573" t="str">
        <f t="shared" si="85"/>
        <v>February</v>
      </c>
      <c r="AD573">
        <f t="shared" si="86"/>
        <v>2025</v>
      </c>
      <c r="AE573" t="str">
        <f t="shared" si="87"/>
        <v>Warning</v>
      </c>
      <c r="AF573" t="str">
        <f t="shared" si="88"/>
        <v>Match</v>
      </c>
      <c r="AG573" t="str">
        <f t="shared" si="89"/>
        <v>Match</v>
      </c>
    </row>
    <row r="574" spans="1:33">
      <c r="A574" t="s">
        <v>1810</v>
      </c>
      <c r="B574" s="3">
        <v>45293</v>
      </c>
      <c r="C574" s="3">
        <v>45300</v>
      </c>
      <c r="D574">
        <f t="shared" si="80"/>
        <v>7</v>
      </c>
      <c r="E574" t="s">
        <v>1811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1812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>
        <v>1</v>
      </c>
      <c r="X574" t="s">
        <v>2765</v>
      </c>
      <c r="Y574">
        <f t="shared" si="81"/>
        <v>0.2</v>
      </c>
      <c r="Z574">
        <f t="shared" si="82"/>
        <v>1774.944</v>
      </c>
      <c r="AA574">
        <f t="shared" si="83"/>
        <v>767.54399999999998</v>
      </c>
      <c r="AB574" s="7">
        <f t="shared" si="84"/>
        <v>0.43243279787982042</v>
      </c>
      <c r="AC574" t="str">
        <f t="shared" si="85"/>
        <v>January</v>
      </c>
      <c r="AD574">
        <f t="shared" si="86"/>
        <v>2024</v>
      </c>
      <c r="AE574" t="str">
        <f t="shared" si="87"/>
        <v>Clean</v>
      </c>
      <c r="AF574" t="str">
        <f t="shared" si="88"/>
        <v>Match</v>
      </c>
      <c r="AG574" t="str">
        <f t="shared" si="89"/>
        <v>Match</v>
      </c>
    </row>
    <row r="575" spans="1:33">
      <c r="A575" t="s">
        <v>1813</v>
      </c>
      <c r="B575" s="3">
        <v>45922</v>
      </c>
      <c r="C575" s="3">
        <v>45926</v>
      </c>
      <c r="D575">
        <f t="shared" si="80"/>
        <v>4</v>
      </c>
      <c r="E575" t="s">
        <v>1814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1815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>
        <v>1</v>
      </c>
      <c r="X575" t="s">
        <v>2765</v>
      </c>
      <c r="Y575">
        <f t="shared" si="81"/>
        <v>0</v>
      </c>
      <c r="Z575">
        <f t="shared" si="82"/>
        <v>573.65</v>
      </c>
      <c r="AA575">
        <f t="shared" si="83"/>
        <v>250.97999999999996</v>
      </c>
      <c r="AB575" s="7">
        <f t="shared" si="84"/>
        <v>0.43751416368866031</v>
      </c>
      <c r="AC575" t="str">
        <f t="shared" si="85"/>
        <v>September</v>
      </c>
      <c r="AD575">
        <f t="shared" si="86"/>
        <v>2025</v>
      </c>
      <c r="AE575" t="str">
        <f t="shared" si="87"/>
        <v>Clean</v>
      </c>
      <c r="AF575" t="str">
        <f t="shared" si="88"/>
        <v>Match</v>
      </c>
      <c r="AG575" t="str">
        <f t="shared" si="89"/>
        <v>Match</v>
      </c>
    </row>
    <row r="576" spans="1:33">
      <c r="A576" t="s">
        <v>1816</v>
      </c>
      <c r="B576" s="3">
        <v>45342</v>
      </c>
      <c r="C576" s="3">
        <v>45347</v>
      </c>
      <c r="D576">
        <f t="shared" si="80"/>
        <v>5</v>
      </c>
      <c r="E576" t="s">
        <v>800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1817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>
        <v>1</v>
      </c>
      <c r="X576" t="s">
        <v>2765</v>
      </c>
      <c r="Y576">
        <f t="shared" si="81"/>
        <v>0</v>
      </c>
      <c r="Z576">
        <f t="shared" si="82"/>
        <v>5423.2</v>
      </c>
      <c r="AA576">
        <f t="shared" si="83"/>
        <v>1350.7599999999998</v>
      </c>
      <c r="AB576" s="7">
        <f t="shared" si="84"/>
        <v>0.24907065938929043</v>
      </c>
      <c r="AC576" t="str">
        <f t="shared" si="85"/>
        <v>February</v>
      </c>
      <c r="AD576">
        <f t="shared" si="86"/>
        <v>2024</v>
      </c>
      <c r="AE576" t="str">
        <f t="shared" si="87"/>
        <v>Clean</v>
      </c>
      <c r="AF576" t="str">
        <f t="shared" si="88"/>
        <v>Match</v>
      </c>
      <c r="AG576" t="str">
        <f t="shared" si="89"/>
        <v>Match</v>
      </c>
    </row>
    <row r="577" spans="1:33">
      <c r="A577" t="s">
        <v>1818</v>
      </c>
      <c r="B577" s="3">
        <v>45727</v>
      </c>
      <c r="C577" s="3">
        <v>45730</v>
      </c>
      <c r="D577">
        <f t="shared" si="80"/>
        <v>3</v>
      </c>
      <c r="E577" t="s">
        <v>1819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1820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>
        <v>1</v>
      </c>
      <c r="X577" t="s">
        <v>2765</v>
      </c>
      <c r="Y577">
        <f t="shared" si="81"/>
        <v>0.2</v>
      </c>
      <c r="Z577">
        <f t="shared" si="82"/>
        <v>3983.424</v>
      </c>
      <c r="AA577">
        <f t="shared" si="83"/>
        <v>808.51400000000012</v>
      </c>
      <c r="AB577" s="7">
        <f t="shared" si="84"/>
        <v>0.2029696060474607</v>
      </c>
      <c r="AC577" t="str">
        <f t="shared" si="85"/>
        <v>March</v>
      </c>
      <c r="AD577">
        <f t="shared" si="86"/>
        <v>2025</v>
      </c>
      <c r="AE577" t="str">
        <f t="shared" si="87"/>
        <v>Clean</v>
      </c>
      <c r="AF577" t="str">
        <f t="shared" si="88"/>
        <v>Match</v>
      </c>
      <c r="AG577" t="str">
        <f t="shared" si="89"/>
        <v>Match</v>
      </c>
    </row>
    <row r="578" spans="1:33">
      <c r="A578" t="s">
        <v>1821</v>
      </c>
      <c r="B578" s="3">
        <v>45339</v>
      </c>
      <c r="C578" s="3">
        <v>45345</v>
      </c>
      <c r="D578">
        <f t="shared" ref="D578:D641" si="90">C578-B578</f>
        <v>6</v>
      </c>
      <c r="E578" t="s">
        <v>1822</v>
      </c>
      <c r="F578" t="s">
        <v>141</v>
      </c>
      <c r="G578" t="s">
        <v>95</v>
      </c>
      <c r="H578" t="s">
        <v>2760</v>
      </c>
      <c r="I578" t="s">
        <v>145</v>
      </c>
      <c r="J578" t="s">
        <v>146</v>
      </c>
      <c r="K578" t="s">
        <v>28</v>
      </c>
      <c r="L578" t="s">
        <v>153</v>
      </c>
      <c r="M578" t="s">
        <v>1823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>
        <v>1</v>
      </c>
      <c r="X578" t="s">
        <v>2765</v>
      </c>
      <c r="Y578">
        <f t="shared" si="81"/>
        <v>0</v>
      </c>
      <c r="Z578">
        <f t="shared" si="82"/>
        <v>23530.14</v>
      </c>
      <c r="AA578">
        <f t="shared" si="83"/>
        <v>3992.3499999999985</v>
      </c>
      <c r="AB578" s="7">
        <f t="shared" si="84"/>
        <v>0.16966962372514566</v>
      </c>
      <c r="AC578" t="str">
        <f t="shared" si="85"/>
        <v>February</v>
      </c>
      <c r="AD578">
        <f t="shared" si="86"/>
        <v>2024</v>
      </c>
      <c r="AE578" t="str">
        <f t="shared" si="87"/>
        <v>Clean</v>
      </c>
      <c r="AF578" t="str">
        <f t="shared" si="88"/>
        <v>Match</v>
      </c>
      <c r="AG578" t="str">
        <f t="shared" si="89"/>
        <v>Match</v>
      </c>
    </row>
    <row r="579" spans="1:33">
      <c r="A579" t="s">
        <v>1824</v>
      </c>
      <c r="B579" s="3">
        <v>45897</v>
      </c>
      <c r="C579" s="3">
        <v>45903</v>
      </c>
      <c r="D579">
        <f t="shared" si="90"/>
        <v>6</v>
      </c>
      <c r="E579" t="s">
        <v>1825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1826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>
        <v>1</v>
      </c>
      <c r="X579" t="s">
        <v>2765</v>
      </c>
      <c r="Y579">
        <f t="shared" ref="Y579:Y642" si="91">IF(
Q579="",
0,
IF(Q579&gt;1,
Q579/100,
Q579)
)</f>
        <v>0</v>
      </c>
      <c r="Z579">
        <f t="shared" ref="Z579:Z642" si="92">O579*P579*(1-Y579)</f>
        <v>1879.1499999999999</v>
      </c>
      <c r="AA579">
        <f t="shared" ref="AA579:AA642" si="93">Z579-S579</f>
        <v>744.24999999999977</v>
      </c>
      <c r="AB579" s="7">
        <f t="shared" ref="AB579:AB642" si="94">IF(Z579=0,0,
AA579/Z579)</f>
        <v>0.39605672777585599</v>
      </c>
      <c r="AC579" t="str">
        <f t="shared" ref="AC579:AC642" si="95">TEXT(B579,"mmmm")</f>
        <v>August</v>
      </c>
      <c r="AD579">
        <f t="shared" ref="AD579:AD642" si="96">YEAR(B579)</f>
        <v>2025</v>
      </c>
      <c r="AE579" t="str">
        <f t="shared" ref="AE579:AE642" si="97">IF(
OR(
Y579&lt;0,
D579&lt;0
),
"Invalid",
IF(
X579="Review Required",
"Warning",
"Clean"
)
)</f>
        <v>Clean</v>
      </c>
      <c r="AF579" t="str">
        <f t="shared" ref="AF579:AF642" si="98">IF(ABS(R579-Z579)&gt;0.01,
"Mismatch",
"Match")</f>
        <v>Match</v>
      </c>
      <c r="AG579" t="str">
        <f t="shared" ref="AG579:AG642" si="99">IF(ABS(T579-AA579)&gt;0.01,
"Mismatch",
"Match")</f>
        <v>Match</v>
      </c>
    </row>
    <row r="580" spans="1:33">
      <c r="A580" t="s">
        <v>1827</v>
      </c>
      <c r="B580" s="3">
        <v>45343</v>
      </c>
      <c r="C580" s="3">
        <v>45345</v>
      </c>
      <c r="D580">
        <f t="shared" si="90"/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1828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>
        <v>1</v>
      </c>
      <c r="X580" t="s">
        <v>2765</v>
      </c>
      <c r="Y580">
        <f t="shared" si="91"/>
        <v>0.05</v>
      </c>
      <c r="Z580">
        <f t="shared" si="92"/>
        <v>15011.805</v>
      </c>
      <c r="AA580">
        <f t="shared" si="93"/>
        <v>5351.4449999999997</v>
      </c>
      <c r="AB580" s="7">
        <f t="shared" si="94"/>
        <v>0.35648244831317749</v>
      </c>
      <c r="AC580" t="str">
        <f t="shared" si="95"/>
        <v>February</v>
      </c>
      <c r="AD580">
        <f t="shared" si="96"/>
        <v>2024</v>
      </c>
      <c r="AE580" t="str">
        <f t="shared" si="97"/>
        <v>Clean</v>
      </c>
      <c r="AF580" t="str">
        <f t="shared" si="98"/>
        <v>Match</v>
      </c>
      <c r="AG580" t="str">
        <f t="shared" si="99"/>
        <v>Match</v>
      </c>
    </row>
    <row r="581" spans="1:33">
      <c r="A581" t="s">
        <v>1829</v>
      </c>
      <c r="B581" s="3">
        <v>45462</v>
      </c>
      <c r="C581" s="3">
        <v>45467</v>
      </c>
      <c r="D581">
        <f t="shared" si="90"/>
        <v>5</v>
      </c>
      <c r="E581" t="s">
        <v>1830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1831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>
        <v>1</v>
      </c>
      <c r="X581" t="s">
        <v>2765</v>
      </c>
      <c r="Y581">
        <f t="shared" si="91"/>
        <v>0</v>
      </c>
      <c r="Z581">
        <f t="shared" si="92"/>
        <v>3202.41</v>
      </c>
      <c r="AA581">
        <f t="shared" si="93"/>
        <v>593.9699999999998</v>
      </c>
      <c r="AB581" s="7">
        <f t="shared" si="94"/>
        <v>0.18547593843386695</v>
      </c>
      <c r="AC581" t="str">
        <f t="shared" si="95"/>
        <v>June</v>
      </c>
      <c r="AD581">
        <f t="shared" si="96"/>
        <v>2024</v>
      </c>
      <c r="AE581" t="str">
        <f t="shared" si="97"/>
        <v>Clean</v>
      </c>
      <c r="AF581" t="str">
        <f t="shared" si="98"/>
        <v>Match</v>
      </c>
      <c r="AG581" t="str">
        <f t="shared" si="99"/>
        <v>Match</v>
      </c>
    </row>
    <row r="582" spans="1:33">
      <c r="A582" t="s">
        <v>1832</v>
      </c>
      <c r="B582" s="3">
        <v>45722</v>
      </c>
      <c r="C582" s="3">
        <v>45729</v>
      </c>
      <c r="D582">
        <f t="shared" si="90"/>
        <v>7</v>
      </c>
      <c r="E582" t="s">
        <v>1833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1834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>
        <v>1</v>
      </c>
      <c r="X582" t="s">
        <v>2765</v>
      </c>
      <c r="Y582">
        <f t="shared" si="91"/>
        <v>0.15</v>
      </c>
      <c r="Z582">
        <f t="shared" si="92"/>
        <v>417.48599999999999</v>
      </c>
      <c r="AA582">
        <f t="shared" si="93"/>
        <v>155.81599999999997</v>
      </c>
      <c r="AB582" s="7">
        <f t="shared" si="94"/>
        <v>0.37322449136018926</v>
      </c>
      <c r="AC582" t="str">
        <f t="shared" si="95"/>
        <v>March</v>
      </c>
      <c r="AD582">
        <f t="shared" si="96"/>
        <v>2025</v>
      </c>
      <c r="AE582" t="str">
        <f t="shared" si="97"/>
        <v>Clean</v>
      </c>
      <c r="AF582" t="str">
        <f t="shared" si="98"/>
        <v>Match</v>
      </c>
      <c r="AG582" t="str">
        <f t="shared" si="99"/>
        <v>Match</v>
      </c>
    </row>
    <row r="583" spans="1:33">
      <c r="A583" t="s">
        <v>1835</v>
      </c>
      <c r="B583" s="3">
        <v>45878</v>
      </c>
      <c r="C583" s="3">
        <v>45879</v>
      </c>
      <c r="D583">
        <f t="shared" si="90"/>
        <v>1</v>
      </c>
      <c r="E583" t="s">
        <v>1836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1837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>
        <v>1</v>
      </c>
      <c r="X583" t="s">
        <v>2765</v>
      </c>
      <c r="Y583">
        <f t="shared" si="91"/>
        <v>0</v>
      </c>
      <c r="Z583">
        <f t="shared" si="92"/>
        <v>16323.8</v>
      </c>
      <c r="AA583">
        <f t="shared" si="93"/>
        <v>6358.0099999999984</v>
      </c>
      <c r="AB583" s="7">
        <f t="shared" si="94"/>
        <v>0.38949325524693995</v>
      </c>
      <c r="AC583" t="str">
        <f t="shared" si="95"/>
        <v>August</v>
      </c>
      <c r="AD583">
        <f t="shared" si="96"/>
        <v>2025</v>
      </c>
      <c r="AE583" t="str">
        <f t="shared" si="97"/>
        <v>Clean</v>
      </c>
      <c r="AF583" t="str">
        <f t="shared" si="98"/>
        <v>Match</v>
      </c>
      <c r="AG583" t="str">
        <f t="shared" si="99"/>
        <v>Match</v>
      </c>
    </row>
    <row r="584" spans="1:33">
      <c r="A584" t="s">
        <v>1838</v>
      </c>
      <c r="B584" s="3">
        <v>45580</v>
      </c>
      <c r="C584" s="3">
        <v>45585</v>
      </c>
      <c r="D584">
        <f t="shared" si="90"/>
        <v>5</v>
      </c>
      <c r="E584" t="s">
        <v>1839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1840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>
        <v>1</v>
      </c>
      <c r="X584" t="s">
        <v>2765</v>
      </c>
      <c r="Y584">
        <f t="shared" si="91"/>
        <v>0</v>
      </c>
      <c r="Z584">
        <f t="shared" si="92"/>
        <v>3356.2</v>
      </c>
      <c r="AA584">
        <f t="shared" si="93"/>
        <v>1150.48</v>
      </c>
      <c r="AB584" s="7">
        <f t="shared" si="94"/>
        <v>0.34279244383528995</v>
      </c>
      <c r="AC584" t="str">
        <f t="shared" si="95"/>
        <v>October</v>
      </c>
      <c r="AD584">
        <f t="shared" si="96"/>
        <v>2024</v>
      </c>
      <c r="AE584" t="str">
        <f t="shared" si="97"/>
        <v>Clean</v>
      </c>
      <c r="AF584" t="str">
        <f t="shared" si="98"/>
        <v>Match</v>
      </c>
      <c r="AG584" t="str">
        <f t="shared" si="99"/>
        <v>Match</v>
      </c>
    </row>
    <row r="585" spans="1:33">
      <c r="A585" t="s">
        <v>1841</v>
      </c>
      <c r="B585" s="3">
        <v>45350</v>
      </c>
      <c r="C585" s="3">
        <v>45350</v>
      </c>
      <c r="D585">
        <f t="shared" si="90"/>
        <v>0</v>
      </c>
      <c r="E585" t="s">
        <v>1842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1843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>
        <v>1</v>
      </c>
      <c r="X585" t="s">
        <v>2765</v>
      </c>
      <c r="Y585">
        <f t="shared" si="91"/>
        <v>0.2</v>
      </c>
      <c r="Z585">
        <f t="shared" si="92"/>
        <v>2101.4720000000002</v>
      </c>
      <c r="AA585">
        <f t="shared" si="93"/>
        <v>883.64200000000028</v>
      </c>
      <c r="AB585" s="7">
        <f t="shared" si="94"/>
        <v>0.42048716328364127</v>
      </c>
      <c r="AC585" t="str">
        <f t="shared" si="95"/>
        <v>February</v>
      </c>
      <c r="AD585">
        <f t="shared" si="96"/>
        <v>2024</v>
      </c>
      <c r="AE585" t="str">
        <f t="shared" si="97"/>
        <v>Clean</v>
      </c>
      <c r="AF585" t="str">
        <f t="shared" si="98"/>
        <v>Match</v>
      </c>
      <c r="AG585" t="str">
        <f t="shared" si="99"/>
        <v>Match</v>
      </c>
    </row>
    <row r="586" spans="1:33">
      <c r="A586" t="s">
        <v>1844</v>
      </c>
      <c r="B586" s="3">
        <v>45508</v>
      </c>
      <c r="C586" s="3">
        <v>45514</v>
      </c>
      <c r="D586">
        <f t="shared" si="90"/>
        <v>6</v>
      </c>
      <c r="E586" t="s">
        <v>1845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1846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>
        <v>1</v>
      </c>
      <c r="X586" t="s">
        <v>2765</v>
      </c>
      <c r="Y586">
        <f t="shared" si="91"/>
        <v>0.15</v>
      </c>
      <c r="Z586">
        <f t="shared" si="92"/>
        <v>837.19049999999993</v>
      </c>
      <c r="AA586">
        <f t="shared" si="93"/>
        <v>253.40049999999997</v>
      </c>
      <c r="AB586" s="7">
        <f t="shared" si="94"/>
        <v>0.30267961712417901</v>
      </c>
      <c r="AC586" t="str">
        <f t="shared" si="95"/>
        <v>August</v>
      </c>
      <c r="AD586">
        <f t="shared" si="96"/>
        <v>2024</v>
      </c>
      <c r="AE586" t="str">
        <f t="shared" si="97"/>
        <v>Clean</v>
      </c>
      <c r="AF586" t="str">
        <f t="shared" si="98"/>
        <v>Match</v>
      </c>
      <c r="AG586" t="str">
        <f t="shared" si="99"/>
        <v>Match</v>
      </c>
    </row>
    <row r="587" spans="1:33">
      <c r="A587" t="s">
        <v>1847</v>
      </c>
      <c r="B587" s="3">
        <v>45830</v>
      </c>
      <c r="C587" s="3">
        <v>45833</v>
      </c>
      <c r="D587">
        <f t="shared" si="90"/>
        <v>3</v>
      </c>
      <c r="E587" t="s">
        <v>1848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1849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>
        <v>1</v>
      </c>
      <c r="X587" t="s">
        <v>2765</v>
      </c>
      <c r="Y587">
        <f t="shared" si="91"/>
        <v>0</v>
      </c>
      <c r="Z587">
        <f t="shared" si="92"/>
        <v>27629.279999999999</v>
      </c>
      <c r="AA587">
        <f t="shared" si="93"/>
        <v>5602.7999999999993</v>
      </c>
      <c r="AB587" s="7">
        <f t="shared" si="94"/>
        <v>0.20278487170132553</v>
      </c>
      <c r="AC587" t="str">
        <f t="shared" si="95"/>
        <v>June</v>
      </c>
      <c r="AD587">
        <f t="shared" si="96"/>
        <v>2025</v>
      </c>
      <c r="AE587" t="str">
        <f t="shared" si="97"/>
        <v>Clean</v>
      </c>
      <c r="AF587" t="str">
        <f t="shared" si="98"/>
        <v>Match</v>
      </c>
      <c r="AG587" t="str">
        <f t="shared" si="99"/>
        <v>Match</v>
      </c>
    </row>
    <row r="588" spans="1:33">
      <c r="A588" t="s">
        <v>1850</v>
      </c>
      <c r="B588" s="3">
        <v>45759</v>
      </c>
      <c r="C588" s="3">
        <v>45759</v>
      </c>
      <c r="D588">
        <f t="shared" si="90"/>
        <v>0</v>
      </c>
      <c r="E588" t="s">
        <v>1851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1852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>
        <v>1</v>
      </c>
      <c r="X588" t="s">
        <v>2765</v>
      </c>
      <c r="Y588">
        <f t="shared" si="91"/>
        <v>0.2</v>
      </c>
      <c r="Z588">
        <f t="shared" si="92"/>
        <v>7471.52</v>
      </c>
      <c r="AA588">
        <f t="shared" si="93"/>
        <v>1287.2000000000007</v>
      </c>
      <c r="AB588" s="7">
        <f t="shared" si="94"/>
        <v>0.17228087457438387</v>
      </c>
      <c r="AC588" t="str">
        <f t="shared" si="95"/>
        <v>April</v>
      </c>
      <c r="AD588">
        <f t="shared" si="96"/>
        <v>2025</v>
      </c>
      <c r="AE588" t="str">
        <f t="shared" si="97"/>
        <v>Clean</v>
      </c>
      <c r="AF588" t="str">
        <f t="shared" si="98"/>
        <v>Match</v>
      </c>
      <c r="AG588" t="str">
        <f t="shared" si="99"/>
        <v>Match</v>
      </c>
    </row>
    <row r="589" spans="1:33">
      <c r="A589" t="s">
        <v>1853</v>
      </c>
      <c r="B589" s="3">
        <v>45861</v>
      </c>
      <c r="C589" s="3">
        <v>45869</v>
      </c>
      <c r="D589">
        <f t="shared" si="90"/>
        <v>8</v>
      </c>
      <c r="E589" t="s">
        <v>1854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1855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>
        <v>1</v>
      </c>
      <c r="X589" t="s">
        <v>2765</v>
      </c>
      <c r="Y589">
        <f t="shared" si="91"/>
        <v>0.15</v>
      </c>
      <c r="Z589">
        <f t="shared" si="92"/>
        <v>3615.7640000000001</v>
      </c>
      <c r="AA589">
        <f t="shared" si="93"/>
        <v>664.24400000000014</v>
      </c>
      <c r="AB589" s="7">
        <f t="shared" si="94"/>
        <v>0.18370778623826114</v>
      </c>
      <c r="AC589" t="str">
        <f t="shared" si="95"/>
        <v>July</v>
      </c>
      <c r="AD589">
        <f t="shared" si="96"/>
        <v>2025</v>
      </c>
      <c r="AE589" t="str">
        <f t="shared" si="97"/>
        <v>Clean</v>
      </c>
      <c r="AF589" t="str">
        <f t="shared" si="98"/>
        <v>Match</v>
      </c>
      <c r="AG589" t="str">
        <f t="shared" si="99"/>
        <v>Match</v>
      </c>
    </row>
    <row r="590" spans="1:33">
      <c r="A590" t="s">
        <v>1856</v>
      </c>
      <c r="B590" s="3">
        <v>45727</v>
      </c>
      <c r="C590" s="3">
        <v>45731</v>
      </c>
      <c r="D590">
        <f t="shared" si="90"/>
        <v>4</v>
      </c>
      <c r="E590" t="s">
        <v>1857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1858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>
        <v>1</v>
      </c>
      <c r="X590" t="s">
        <v>2765</v>
      </c>
      <c r="Y590">
        <f t="shared" si="91"/>
        <v>0.1</v>
      </c>
      <c r="Z590">
        <f t="shared" si="92"/>
        <v>32013.791999999998</v>
      </c>
      <c r="AA590">
        <f t="shared" si="93"/>
        <v>11116.911999999997</v>
      </c>
      <c r="AB590" s="7">
        <f t="shared" si="94"/>
        <v>0.34725383359771933</v>
      </c>
      <c r="AC590" t="str">
        <f t="shared" si="95"/>
        <v>March</v>
      </c>
      <c r="AD590">
        <f t="shared" si="96"/>
        <v>2025</v>
      </c>
      <c r="AE590" t="str">
        <f t="shared" si="97"/>
        <v>Clean</v>
      </c>
      <c r="AF590" t="str">
        <f t="shared" si="98"/>
        <v>Match</v>
      </c>
      <c r="AG590" t="str">
        <f t="shared" si="99"/>
        <v>Match</v>
      </c>
    </row>
    <row r="591" spans="1:33">
      <c r="A591" t="s">
        <v>1859</v>
      </c>
      <c r="B591" s="3">
        <v>45632</v>
      </c>
      <c r="C591" s="3">
        <v>45638</v>
      </c>
      <c r="D591">
        <f t="shared" si="90"/>
        <v>6</v>
      </c>
      <c r="E591" t="s">
        <v>1860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1861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>
        <v>1</v>
      </c>
      <c r="X591" t="s">
        <v>2765</v>
      </c>
      <c r="Y591">
        <f t="shared" si="91"/>
        <v>0</v>
      </c>
      <c r="Z591">
        <f t="shared" si="92"/>
        <v>1574.25</v>
      </c>
      <c r="AA591">
        <f t="shared" si="93"/>
        <v>248.13000000000011</v>
      </c>
      <c r="AB591" s="7">
        <f t="shared" si="94"/>
        <v>0.15761791329204389</v>
      </c>
      <c r="AC591" t="str">
        <f t="shared" si="95"/>
        <v>December</v>
      </c>
      <c r="AD591">
        <f t="shared" si="96"/>
        <v>2024</v>
      </c>
      <c r="AE591" t="str">
        <f t="shared" si="97"/>
        <v>Clean</v>
      </c>
      <c r="AF591" t="str">
        <f t="shared" si="98"/>
        <v>Match</v>
      </c>
      <c r="AG591" t="str">
        <f t="shared" si="99"/>
        <v>Match</v>
      </c>
    </row>
    <row r="592" spans="1:33">
      <c r="A592" t="s">
        <v>1862</v>
      </c>
      <c r="B592" s="3">
        <v>45441</v>
      </c>
      <c r="C592" s="3">
        <v>45441</v>
      </c>
      <c r="D592">
        <f t="shared" si="90"/>
        <v>0</v>
      </c>
      <c r="E592" t="s">
        <v>1863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1864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>
        <v>1</v>
      </c>
      <c r="X592" t="s">
        <v>2765</v>
      </c>
      <c r="Y592">
        <f t="shared" si="91"/>
        <v>0</v>
      </c>
      <c r="Z592">
        <f t="shared" si="92"/>
        <v>20582.099999999999</v>
      </c>
      <c r="AA592">
        <f t="shared" si="93"/>
        <v>4684.4499999999989</v>
      </c>
      <c r="AB592" s="7">
        <f t="shared" si="94"/>
        <v>0.22759825285077806</v>
      </c>
      <c r="AC592" t="str">
        <f t="shared" si="95"/>
        <v>May</v>
      </c>
      <c r="AD592">
        <f t="shared" si="96"/>
        <v>2024</v>
      </c>
      <c r="AE592" t="str">
        <f t="shared" si="97"/>
        <v>Clean</v>
      </c>
      <c r="AF592" t="str">
        <f t="shared" si="98"/>
        <v>Match</v>
      </c>
      <c r="AG592" t="str">
        <f t="shared" si="99"/>
        <v>Match</v>
      </c>
    </row>
    <row r="593" spans="1:33">
      <c r="A593" t="s">
        <v>1865</v>
      </c>
      <c r="B593" s="3">
        <v>45344</v>
      </c>
      <c r="C593" s="3">
        <v>45346</v>
      </c>
      <c r="D593">
        <f t="shared" si="90"/>
        <v>2</v>
      </c>
      <c r="E593" t="s">
        <v>1866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1867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>
        <v>1</v>
      </c>
      <c r="X593" t="s">
        <v>2765</v>
      </c>
      <c r="Y593">
        <f t="shared" si="91"/>
        <v>0</v>
      </c>
      <c r="Z593">
        <f t="shared" si="92"/>
        <v>10635.24</v>
      </c>
      <c r="AA593">
        <f t="shared" si="93"/>
        <v>4603.3599999999997</v>
      </c>
      <c r="AB593" s="7">
        <f t="shared" si="94"/>
        <v>0.43284025560307055</v>
      </c>
      <c r="AC593" t="str">
        <f t="shared" si="95"/>
        <v>February</v>
      </c>
      <c r="AD593">
        <f t="shared" si="96"/>
        <v>2024</v>
      </c>
      <c r="AE593" t="str">
        <f t="shared" si="97"/>
        <v>Clean</v>
      </c>
      <c r="AF593" t="str">
        <f t="shared" si="98"/>
        <v>Match</v>
      </c>
      <c r="AG593" t="str">
        <f t="shared" si="99"/>
        <v>Match</v>
      </c>
    </row>
    <row r="594" spans="1:33">
      <c r="A594" t="s">
        <v>1868</v>
      </c>
      <c r="B594" s="3">
        <v>45355</v>
      </c>
      <c r="C594" s="3">
        <v>45360</v>
      </c>
      <c r="D594">
        <f t="shared" si="90"/>
        <v>5</v>
      </c>
      <c r="E594" t="s">
        <v>1869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1870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>
        <v>1</v>
      </c>
      <c r="X594" t="s">
        <v>2765</v>
      </c>
      <c r="Y594">
        <f t="shared" si="91"/>
        <v>0.15</v>
      </c>
      <c r="Z594">
        <f t="shared" si="92"/>
        <v>29929.588</v>
      </c>
      <c r="AA594">
        <f t="shared" si="93"/>
        <v>7493.5580000000009</v>
      </c>
      <c r="AB594" s="7">
        <f t="shared" si="94"/>
        <v>0.25037290857461858</v>
      </c>
      <c r="AC594" t="str">
        <f t="shared" si="95"/>
        <v>March</v>
      </c>
      <c r="AD594">
        <f t="shared" si="96"/>
        <v>2024</v>
      </c>
      <c r="AE594" t="str">
        <f t="shared" si="97"/>
        <v>Clean</v>
      </c>
      <c r="AF594" t="str">
        <f t="shared" si="98"/>
        <v>Match</v>
      </c>
      <c r="AG594" t="str">
        <f t="shared" si="99"/>
        <v>Match</v>
      </c>
    </row>
    <row r="595" spans="1:33">
      <c r="A595" t="s">
        <v>1871</v>
      </c>
      <c r="B595" s="3">
        <v>45927</v>
      </c>
      <c r="C595" s="3">
        <v>45929</v>
      </c>
      <c r="D595">
        <f t="shared" si="90"/>
        <v>2</v>
      </c>
      <c r="E595" t="s">
        <v>1663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1872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>
        <v>1</v>
      </c>
      <c r="X595" t="s">
        <v>2765</v>
      </c>
      <c r="Y595">
        <f t="shared" si="91"/>
        <v>0.25</v>
      </c>
      <c r="Z595">
        <f t="shared" si="92"/>
        <v>27675.7425</v>
      </c>
      <c r="AA595">
        <f t="shared" si="93"/>
        <v>12104.6625</v>
      </c>
      <c r="AB595" s="7">
        <f t="shared" si="94"/>
        <v>0.4373744444254748</v>
      </c>
      <c r="AC595" t="str">
        <f t="shared" si="95"/>
        <v>September</v>
      </c>
      <c r="AD595">
        <f t="shared" si="96"/>
        <v>2025</v>
      </c>
      <c r="AE595" t="str">
        <f t="shared" si="97"/>
        <v>Clean</v>
      </c>
      <c r="AF595" t="str">
        <f t="shared" si="98"/>
        <v>Match</v>
      </c>
      <c r="AG595" t="str">
        <f t="shared" si="99"/>
        <v>Match</v>
      </c>
    </row>
    <row r="596" spans="1:33">
      <c r="A596" t="s">
        <v>1873</v>
      </c>
      <c r="B596" s="3">
        <v>45554</v>
      </c>
      <c r="C596" s="3">
        <v>45556</v>
      </c>
      <c r="D596">
        <f t="shared" si="90"/>
        <v>2</v>
      </c>
      <c r="E596" t="s">
        <v>1874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1875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>
        <v>1</v>
      </c>
      <c r="X596" t="s">
        <v>2765</v>
      </c>
      <c r="Y596">
        <f t="shared" si="91"/>
        <v>0</v>
      </c>
      <c r="Z596">
        <f t="shared" si="92"/>
        <v>11945.28</v>
      </c>
      <c r="AA596">
        <f t="shared" si="93"/>
        <v>2244.9700000000012</v>
      </c>
      <c r="AB596" s="7">
        <f t="shared" si="94"/>
        <v>0.18793782983739193</v>
      </c>
      <c r="AC596" t="str">
        <f t="shared" si="95"/>
        <v>September</v>
      </c>
      <c r="AD596">
        <f t="shared" si="96"/>
        <v>2024</v>
      </c>
      <c r="AE596" t="str">
        <f t="shared" si="97"/>
        <v>Clean</v>
      </c>
      <c r="AF596" t="str">
        <f t="shared" si="98"/>
        <v>Match</v>
      </c>
      <c r="AG596" t="str">
        <f t="shared" si="99"/>
        <v>Match</v>
      </c>
    </row>
    <row r="597" spans="1:33">
      <c r="A597" t="s">
        <v>1876</v>
      </c>
      <c r="B597" s="3">
        <v>45699</v>
      </c>
      <c r="C597" s="3">
        <v>45704</v>
      </c>
      <c r="D597">
        <f t="shared" si="90"/>
        <v>5</v>
      </c>
      <c r="E597" t="s">
        <v>1877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1878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>
        <v>1</v>
      </c>
      <c r="X597" t="s">
        <v>2765</v>
      </c>
      <c r="Y597">
        <f t="shared" si="91"/>
        <v>0.1</v>
      </c>
      <c r="Z597">
        <f t="shared" si="92"/>
        <v>13144.031999999999</v>
      </c>
      <c r="AA597">
        <f t="shared" si="93"/>
        <v>3380.0319999999992</v>
      </c>
      <c r="AB597" s="7">
        <f t="shared" si="94"/>
        <v>0.25715336055176974</v>
      </c>
      <c r="AC597" t="str">
        <f t="shared" si="95"/>
        <v>February</v>
      </c>
      <c r="AD597">
        <f t="shared" si="96"/>
        <v>2025</v>
      </c>
      <c r="AE597" t="str">
        <f t="shared" si="97"/>
        <v>Clean</v>
      </c>
      <c r="AF597" t="str">
        <f t="shared" si="98"/>
        <v>Match</v>
      </c>
      <c r="AG597" t="str">
        <f t="shared" si="99"/>
        <v>Match</v>
      </c>
    </row>
    <row r="598" spans="1:33">
      <c r="A598" t="s">
        <v>1879</v>
      </c>
      <c r="B598" s="3">
        <v>45392</v>
      </c>
      <c r="C598" s="3">
        <v>45398</v>
      </c>
      <c r="D598">
        <f t="shared" si="90"/>
        <v>6</v>
      </c>
      <c r="E598" t="s">
        <v>1880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1881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>
        <v>1</v>
      </c>
      <c r="X598" t="s">
        <v>2765</v>
      </c>
      <c r="Y598">
        <f t="shared" si="91"/>
        <v>0.25</v>
      </c>
      <c r="Z598">
        <f t="shared" si="92"/>
        <v>18382.005000000005</v>
      </c>
      <c r="AA598">
        <f t="shared" si="93"/>
        <v>5273.8050000000039</v>
      </c>
      <c r="AB598" s="7">
        <f t="shared" si="94"/>
        <v>0.28690042245119629</v>
      </c>
      <c r="AC598" t="str">
        <f t="shared" si="95"/>
        <v>April</v>
      </c>
      <c r="AD598">
        <f t="shared" si="96"/>
        <v>2024</v>
      </c>
      <c r="AE598" t="str">
        <f t="shared" si="97"/>
        <v>Clean</v>
      </c>
      <c r="AF598" t="str">
        <f t="shared" si="98"/>
        <v>Match</v>
      </c>
      <c r="AG598" t="str">
        <f t="shared" si="99"/>
        <v>Match</v>
      </c>
    </row>
    <row r="599" spans="1:33">
      <c r="A599" t="s">
        <v>1882</v>
      </c>
      <c r="B599" s="3">
        <v>45846</v>
      </c>
      <c r="C599" s="3">
        <v>45846</v>
      </c>
      <c r="D599">
        <f t="shared" si="90"/>
        <v>0</v>
      </c>
      <c r="E599" t="s">
        <v>1883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1884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>
        <v>1</v>
      </c>
      <c r="X599" t="s">
        <v>2765</v>
      </c>
      <c r="Y599">
        <f t="shared" si="91"/>
        <v>0.25</v>
      </c>
      <c r="Z599">
        <f t="shared" si="92"/>
        <v>1855.44</v>
      </c>
      <c r="AA599">
        <f t="shared" si="93"/>
        <v>592.70000000000005</v>
      </c>
      <c r="AB599" s="7">
        <f t="shared" si="94"/>
        <v>0.3194390548872505</v>
      </c>
      <c r="AC599" t="str">
        <f t="shared" si="95"/>
        <v>July</v>
      </c>
      <c r="AD599">
        <f t="shared" si="96"/>
        <v>2025</v>
      </c>
      <c r="AE599" t="str">
        <f t="shared" si="97"/>
        <v>Clean</v>
      </c>
      <c r="AF599" t="str">
        <f t="shared" si="98"/>
        <v>Match</v>
      </c>
      <c r="AG599" t="str">
        <f t="shared" si="99"/>
        <v>Match</v>
      </c>
    </row>
    <row r="600" spans="1:33">
      <c r="A600" t="s">
        <v>1885</v>
      </c>
      <c r="B600" s="3">
        <v>45521</v>
      </c>
      <c r="C600" s="3">
        <v>45528</v>
      </c>
      <c r="D600">
        <f t="shared" si="90"/>
        <v>7</v>
      </c>
      <c r="E600" t="s">
        <v>1886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1887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>
        <v>1</v>
      </c>
      <c r="X600" t="s">
        <v>2765</v>
      </c>
      <c r="Y600">
        <f t="shared" si="91"/>
        <v>0.25</v>
      </c>
      <c r="Z600">
        <f t="shared" si="92"/>
        <v>3354.0524999999998</v>
      </c>
      <c r="AA600">
        <f t="shared" si="93"/>
        <v>681.38249999999971</v>
      </c>
      <c r="AB600" s="7">
        <f t="shared" si="94"/>
        <v>0.20315200790685289</v>
      </c>
      <c r="AC600" t="str">
        <f t="shared" si="95"/>
        <v>August</v>
      </c>
      <c r="AD600">
        <f t="shared" si="96"/>
        <v>2024</v>
      </c>
      <c r="AE600" t="str">
        <f t="shared" si="97"/>
        <v>Clean</v>
      </c>
      <c r="AF600" t="str">
        <f t="shared" si="98"/>
        <v>Match</v>
      </c>
      <c r="AG600" t="str">
        <f t="shared" si="99"/>
        <v>Match</v>
      </c>
    </row>
    <row r="601" spans="1:33">
      <c r="A601" t="s">
        <v>1888</v>
      </c>
      <c r="B601" s="3">
        <v>45523</v>
      </c>
      <c r="C601" s="3">
        <v>45525</v>
      </c>
      <c r="D601">
        <f t="shared" si="90"/>
        <v>2</v>
      </c>
      <c r="E601" t="s">
        <v>1889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1890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>
        <v>1</v>
      </c>
      <c r="X601" t="s">
        <v>2765</v>
      </c>
      <c r="Y601">
        <f t="shared" si="91"/>
        <v>0.25</v>
      </c>
      <c r="Z601">
        <f t="shared" si="92"/>
        <v>2482.9650000000001</v>
      </c>
      <c r="AA601">
        <f t="shared" si="93"/>
        <v>861.24500000000012</v>
      </c>
      <c r="AB601" s="7">
        <f t="shared" si="94"/>
        <v>0.34686151435884116</v>
      </c>
      <c r="AC601" t="str">
        <f t="shared" si="95"/>
        <v>August</v>
      </c>
      <c r="AD601">
        <f t="shared" si="96"/>
        <v>2024</v>
      </c>
      <c r="AE601" t="str">
        <f t="shared" si="97"/>
        <v>Clean</v>
      </c>
      <c r="AF601" t="str">
        <f t="shared" si="98"/>
        <v>Match</v>
      </c>
      <c r="AG601" t="str">
        <f t="shared" si="99"/>
        <v>Match</v>
      </c>
    </row>
    <row r="602" spans="1:33">
      <c r="A602" t="s">
        <v>1891</v>
      </c>
      <c r="B602" s="3">
        <v>45721</v>
      </c>
      <c r="C602" s="3">
        <v>45728</v>
      </c>
      <c r="D602">
        <f t="shared" si="90"/>
        <v>7</v>
      </c>
      <c r="E602" t="s">
        <v>1892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1893</v>
      </c>
      <c r="N602" t="s">
        <v>44</v>
      </c>
      <c r="O602">
        <v>3</v>
      </c>
      <c r="P602">
        <v>3682.75</v>
      </c>
      <c r="Q602"/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>
        <v>1</v>
      </c>
      <c r="X602" t="s">
        <v>2765</v>
      </c>
      <c r="Y602">
        <f t="shared" si="91"/>
        <v>0</v>
      </c>
      <c r="Z602">
        <f t="shared" si="92"/>
        <v>11048.25</v>
      </c>
      <c r="AA602">
        <f t="shared" si="93"/>
        <v>1985.5300000000007</v>
      </c>
      <c r="AB602" s="7">
        <f t="shared" si="94"/>
        <v>0.17971443441268986</v>
      </c>
      <c r="AC602" t="str">
        <f t="shared" si="95"/>
        <v>March</v>
      </c>
      <c r="AD602">
        <f t="shared" si="96"/>
        <v>2025</v>
      </c>
      <c r="AE602" t="str">
        <f t="shared" si="97"/>
        <v>Clean</v>
      </c>
      <c r="AF602" t="str">
        <f t="shared" si="98"/>
        <v>Match</v>
      </c>
      <c r="AG602" t="str">
        <f t="shared" si="99"/>
        <v>Match</v>
      </c>
    </row>
    <row r="603" spans="1:33">
      <c r="A603" t="s">
        <v>1894</v>
      </c>
      <c r="B603" s="3">
        <v>45317</v>
      </c>
      <c r="C603" s="3">
        <v>45322</v>
      </c>
      <c r="D603">
        <f t="shared" si="90"/>
        <v>5</v>
      </c>
      <c r="E603" t="s">
        <v>1895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1896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>
        <v>1</v>
      </c>
      <c r="X603" t="s">
        <v>2765</v>
      </c>
      <c r="Y603">
        <f t="shared" si="91"/>
        <v>0.2</v>
      </c>
      <c r="Z603">
        <f t="shared" si="92"/>
        <v>6460.12</v>
      </c>
      <c r="AA603">
        <f t="shared" si="93"/>
        <v>2856.0899999999997</v>
      </c>
      <c r="AB603" s="7">
        <f t="shared" si="94"/>
        <v>0.44211098245853014</v>
      </c>
      <c r="AC603" t="str">
        <f t="shared" si="95"/>
        <v>January</v>
      </c>
      <c r="AD603">
        <f t="shared" si="96"/>
        <v>2024</v>
      </c>
      <c r="AE603" t="str">
        <f t="shared" si="97"/>
        <v>Clean</v>
      </c>
      <c r="AF603" t="str">
        <f t="shared" si="98"/>
        <v>Match</v>
      </c>
      <c r="AG603" t="str">
        <f t="shared" si="99"/>
        <v>Match</v>
      </c>
    </row>
    <row r="604" spans="1:33">
      <c r="A604" t="s">
        <v>1897</v>
      </c>
      <c r="B604" s="3">
        <v>45588</v>
      </c>
      <c r="C604" s="3">
        <v>45595</v>
      </c>
      <c r="D604">
        <f t="shared" si="90"/>
        <v>7</v>
      </c>
      <c r="E604" t="s">
        <v>1898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1899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>
        <v>1</v>
      </c>
      <c r="X604" t="s">
        <v>2765</v>
      </c>
      <c r="Y604">
        <f t="shared" si="91"/>
        <v>0.15</v>
      </c>
      <c r="Z604">
        <f t="shared" si="92"/>
        <v>26192.223000000002</v>
      </c>
      <c r="AA604">
        <f t="shared" si="93"/>
        <v>5396.6730000000025</v>
      </c>
      <c r="AB604" s="7">
        <f t="shared" si="94"/>
        <v>0.20604104508426041</v>
      </c>
      <c r="AC604" t="str">
        <f t="shared" si="95"/>
        <v>October</v>
      </c>
      <c r="AD604">
        <f t="shared" si="96"/>
        <v>2024</v>
      </c>
      <c r="AE604" t="str">
        <f t="shared" si="97"/>
        <v>Clean</v>
      </c>
      <c r="AF604" t="str">
        <f t="shared" si="98"/>
        <v>Match</v>
      </c>
      <c r="AG604" t="str">
        <f t="shared" si="99"/>
        <v>Match</v>
      </c>
    </row>
    <row r="605" spans="1:33">
      <c r="A605" t="s">
        <v>1900</v>
      </c>
      <c r="B605" s="3">
        <v>45660</v>
      </c>
      <c r="C605" s="3">
        <v>45668</v>
      </c>
      <c r="D605">
        <f t="shared" si="90"/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1901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>
        <v>1</v>
      </c>
      <c r="X605" t="s">
        <v>2765</v>
      </c>
      <c r="Y605">
        <f t="shared" si="91"/>
        <v>0.05</v>
      </c>
      <c r="Z605">
        <f t="shared" si="92"/>
        <v>19564.603999999999</v>
      </c>
      <c r="AA605">
        <f t="shared" si="93"/>
        <v>8410.0139999999992</v>
      </c>
      <c r="AB605" s="7">
        <f t="shared" si="94"/>
        <v>0.42985863654587642</v>
      </c>
      <c r="AC605" t="str">
        <f t="shared" si="95"/>
        <v>January</v>
      </c>
      <c r="AD605">
        <f t="shared" si="96"/>
        <v>2025</v>
      </c>
      <c r="AE605" t="str">
        <f t="shared" si="97"/>
        <v>Clean</v>
      </c>
      <c r="AF605" t="str">
        <f t="shared" si="98"/>
        <v>Match</v>
      </c>
      <c r="AG605" t="str">
        <f t="shared" si="99"/>
        <v>Match</v>
      </c>
    </row>
    <row r="606" spans="1:33">
      <c r="A606" t="s">
        <v>1902</v>
      </c>
      <c r="B606" s="3">
        <v>45693</v>
      </c>
      <c r="C606" s="3">
        <v>45694</v>
      </c>
      <c r="D606">
        <f t="shared" si="90"/>
        <v>1</v>
      </c>
      <c r="E606" t="s">
        <v>1903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1904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>
        <v>1</v>
      </c>
      <c r="X606" t="s">
        <v>2765</v>
      </c>
      <c r="Y606">
        <f t="shared" si="91"/>
        <v>0</v>
      </c>
      <c r="Z606">
        <f t="shared" si="92"/>
        <v>3228.8999999999996</v>
      </c>
      <c r="AA606">
        <f t="shared" si="93"/>
        <v>1375.6699999999996</v>
      </c>
      <c r="AB606" s="7">
        <f t="shared" si="94"/>
        <v>0.42604911889497965</v>
      </c>
      <c r="AC606" t="str">
        <f t="shared" si="95"/>
        <v>February</v>
      </c>
      <c r="AD606">
        <f t="shared" si="96"/>
        <v>2025</v>
      </c>
      <c r="AE606" t="str">
        <f t="shared" si="97"/>
        <v>Clean</v>
      </c>
      <c r="AF606" t="str">
        <f t="shared" si="98"/>
        <v>Match</v>
      </c>
      <c r="AG606" t="str">
        <f t="shared" si="99"/>
        <v>Match</v>
      </c>
    </row>
    <row r="607" spans="1:33">
      <c r="A607" t="s">
        <v>1905</v>
      </c>
      <c r="B607" s="3">
        <v>45847</v>
      </c>
      <c r="C607" s="3">
        <v>45851</v>
      </c>
      <c r="D607">
        <f t="shared" si="90"/>
        <v>4</v>
      </c>
      <c r="E607" t="s">
        <v>1906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1907</v>
      </c>
      <c r="N607" t="s">
        <v>31</v>
      </c>
      <c r="O607">
        <v>5</v>
      </c>
      <c r="P607">
        <v>1680.01</v>
      </c>
      <c r="Q607" s="5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>
        <v>1</v>
      </c>
      <c r="X607" t="s">
        <v>2765</v>
      </c>
      <c r="Y607">
        <f t="shared" si="91"/>
        <v>0.85</v>
      </c>
      <c r="Z607">
        <f t="shared" si="92"/>
        <v>1260.0075000000002</v>
      </c>
      <c r="AA607">
        <f t="shared" si="93"/>
        <v>-5188.0424999999996</v>
      </c>
      <c r="AB607" s="7">
        <f t="shared" si="94"/>
        <v>-4.1174695388717915</v>
      </c>
      <c r="AC607" t="str">
        <f t="shared" si="95"/>
        <v>July</v>
      </c>
      <c r="AD607">
        <f t="shared" si="96"/>
        <v>2025</v>
      </c>
      <c r="AE607" t="str">
        <f t="shared" si="97"/>
        <v>Clean</v>
      </c>
      <c r="AF607" t="str">
        <f t="shared" si="98"/>
        <v>Mismatch</v>
      </c>
      <c r="AG607" t="str">
        <f t="shared" si="99"/>
        <v>Mismatch</v>
      </c>
    </row>
    <row r="608" spans="1:33">
      <c r="A608" t="s">
        <v>1908</v>
      </c>
      <c r="B608" s="3">
        <v>45710</v>
      </c>
      <c r="C608" s="3">
        <v>45716</v>
      </c>
      <c r="D608">
        <f t="shared" si="90"/>
        <v>6</v>
      </c>
      <c r="E608" t="s">
        <v>1909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1910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>
        <v>1</v>
      </c>
      <c r="X608" t="s">
        <v>2765</v>
      </c>
      <c r="Y608">
        <f t="shared" si="91"/>
        <v>0.25</v>
      </c>
      <c r="Z608">
        <f t="shared" si="92"/>
        <v>8754.3225000000002</v>
      </c>
      <c r="AA608">
        <f t="shared" si="93"/>
        <v>2515.4225000000006</v>
      </c>
      <c r="AB608" s="7">
        <f t="shared" si="94"/>
        <v>0.28733491369549163</v>
      </c>
      <c r="AC608" t="str">
        <f t="shared" si="95"/>
        <v>February</v>
      </c>
      <c r="AD608">
        <f t="shared" si="96"/>
        <v>2025</v>
      </c>
      <c r="AE608" t="str">
        <f t="shared" si="97"/>
        <v>Clean</v>
      </c>
      <c r="AF608" t="str">
        <f t="shared" si="98"/>
        <v>Match</v>
      </c>
      <c r="AG608" t="str">
        <f t="shared" si="99"/>
        <v>Match</v>
      </c>
    </row>
    <row r="609" spans="1:33">
      <c r="A609" t="s">
        <v>1911</v>
      </c>
      <c r="B609" s="3">
        <v>45704</v>
      </c>
      <c r="C609" s="3">
        <v>45710</v>
      </c>
      <c r="D609">
        <f t="shared" si="90"/>
        <v>6</v>
      </c>
      <c r="E609" t="s">
        <v>1912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1913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>
        <v>1</v>
      </c>
      <c r="X609" t="s">
        <v>2765</v>
      </c>
      <c r="Y609">
        <f t="shared" si="91"/>
        <v>0.15</v>
      </c>
      <c r="Z609">
        <f t="shared" si="92"/>
        <v>4057.3474999999994</v>
      </c>
      <c r="AA609">
        <f t="shared" si="93"/>
        <v>1195.3174999999992</v>
      </c>
      <c r="AB609" s="7">
        <f t="shared" si="94"/>
        <v>0.29460565061286947</v>
      </c>
      <c r="AC609" t="str">
        <f t="shared" si="95"/>
        <v>February</v>
      </c>
      <c r="AD609">
        <f t="shared" si="96"/>
        <v>2025</v>
      </c>
      <c r="AE609" t="str">
        <f t="shared" si="97"/>
        <v>Clean</v>
      </c>
      <c r="AF609" t="str">
        <f t="shared" si="98"/>
        <v>Match</v>
      </c>
      <c r="AG609" t="str">
        <f t="shared" si="99"/>
        <v>Match</v>
      </c>
    </row>
    <row r="610" spans="1:33">
      <c r="A610" t="s">
        <v>1914</v>
      </c>
      <c r="B610" s="3">
        <v>45464</v>
      </c>
      <c r="C610" s="3">
        <v>45466</v>
      </c>
      <c r="D610">
        <f t="shared" si="90"/>
        <v>2</v>
      </c>
      <c r="E610" t="s">
        <v>1692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1915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>
        <v>1</v>
      </c>
      <c r="X610" t="s">
        <v>2765</v>
      </c>
      <c r="Y610">
        <f t="shared" si="91"/>
        <v>0</v>
      </c>
      <c r="Z610">
        <f t="shared" si="92"/>
        <v>19383.75</v>
      </c>
      <c r="AA610">
        <f t="shared" si="93"/>
        <v>7716.32</v>
      </c>
      <c r="AB610" s="7">
        <f t="shared" si="94"/>
        <v>0.39808189849745274</v>
      </c>
      <c r="AC610" t="str">
        <f t="shared" si="95"/>
        <v>June</v>
      </c>
      <c r="AD610">
        <f t="shared" si="96"/>
        <v>2024</v>
      </c>
      <c r="AE610" t="str">
        <f t="shared" si="97"/>
        <v>Clean</v>
      </c>
      <c r="AF610" t="str">
        <f t="shared" si="98"/>
        <v>Match</v>
      </c>
      <c r="AG610" t="str">
        <f t="shared" si="99"/>
        <v>Match</v>
      </c>
    </row>
    <row r="611" spans="1:33">
      <c r="A611" t="s">
        <v>1916</v>
      </c>
      <c r="B611" s="3">
        <v>45665</v>
      </c>
      <c r="C611" s="3">
        <v>45669</v>
      </c>
      <c r="D611">
        <f t="shared" si="90"/>
        <v>4</v>
      </c>
      <c r="E611" t="s">
        <v>1917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1918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>
        <v>1</v>
      </c>
      <c r="X611" t="s">
        <v>2765</v>
      </c>
      <c r="Y611">
        <f t="shared" si="91"/>
        <v>0</v>
      </c>
      <c r="Z611">
        <f t="shared" si="92"/>
        <v>30362.359999999997</v>
      </c>
      <c r="AA611">
        <f t="shared" si="93"/>
        <v>5296.9599999999955</v>
      </c>
      <c r="AB611" s="7">
        <f t="shared" si="94"/>
        <v>0.17445811195177174</v>
      </c>
      <c r="AC611" t="str">
        <f t="shared" si="95"/>
        <v>January</v>
      </c>
      <c r="AD611">
        <f t="shared" si="96"/>
        <v>2025</v>
      </c>
      <c r="AE611" t="str">
        <f t="shared" si="97"/>
        <v>Clean</v>
      </c>
      <c r="AF611" t="str">
        <f t="shared" si="98"/>
        <v>Match</v>
      </c>
      <c r="AG611" t="str">
        <f t="shared" si="99"/>
        <v>Match</v>
      </c>
    </row>
    <row r="612" spans="1:33">
      <c r="A612" t="s">
        <v>1919</v>
      </c>
      <c r="B612" s="3">
        <v>45432</v>
      </c>
      <c r="C612" s="3">
        <v>45432</v>
      </c>
      <c r="D612">
        <f t="shared" si="90"/>
        <v>0</v>
      </c>
      <c r="E612" t="s">
        <v>1364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1920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>
        <v>1</v>
      </c>
      <c r="X612" t="s">
        <v>2765</v>
      </c>
      <c r="Y612">
        <f t="shared" si="91"/>
        <v>0.1</v>
      </c>
      <c r="Z612">
        <f t="shared" si="92"/>
        <v>2729.6549999999997</v>
      </c>
      <c r="AA612">
        <f t="shared" si="93"/>
        <v>1014.2949999999998</v>
      </c>
      <c r="AB612" s="7">
        <f t="shared" si="94"/>
        <v>0.37158358840219735</v>
      </c>
      <c r="AC612" t="str">
        <f t="shared" si="95"/>
        <v>May</v>
      </c>
      <c r="AD612">
        <f t="shared" si="96"/>
        <v>2024</v>
      </c>
      <c r="AE612" t="str">
        <f t="shared" si="97"/>
        <v>Clean</v>
      </c>
      <c r="AF612" t="str">
        <f t="shared" si="98"/>
        <v>Match</v>
      </c>
      <c r="AG612" t="str">
        <f t="shared" si="99"/>
        <v>Match</v>
      </c>
    </row>
    <row r="613" spans="1:33">
      <c r="A613" t="s">
        <v>1921</v>
      </c>
      <c r="B613" s="3">
        <v>45846</v>
      </c>
      <c r="C613" s="3">
        <v>45853</v>
      </c>
      <c r="D613">
        <f t="shared" si="90"/>
        <v>7</v>
      </c>
      <c r="E613" t="s">
        <v>1922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1923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>
        <v>1</v>
      </c>
      <c r="X613" t="s">
        <v>2765</v>
      </c>
      <c r="Y613">
        <f t="shared" si="91"/>
        <v>0.1</v>
      </c>
      <c r="Z613">
        <f t="shared" si="92"/>
        <v>4718.0159999999996</v>
      </c>
      <c r="AA613">
        <f t="shared" si="93"/>
        <v>809.7859999999996</v>
      </c>
      <c r="AB613" s="7">
        <f t="shared" si="94"/>
        <v>0.17163697622051297</v>
      </c>
      <c r="AC613" t="str">
        <f t="shared" si="95"/>
        <v>July</v>
      </c>
      <c r="AD613">
        <f t="shared" si="96"/>
        <v>2025</v>
      </c>
      <c r="AE613" t="str">
        <f t="shared" si="97"/>
        <v>Clean</v>
      </c>
      <c r="AF613" t="str">
        <f t="shared" si="98"/>
        <v>Match</v>
      </c>
      <c r="AG613" t="str">
        <f t="shared" si="99"/>
        <v>Match</v>
      </c>
    </row>
    <row r="614" spans="1:33">
      <c r="A614" t="s">
        <v>1924</v>
      </c>
      <c r="B614" s="3">
        <v>45753</v>
      </c>
      <c r="C614" s="3">
        <v>45760</v>
      </c>
      <c r="D614">
        <f t="shared" si="90"/>
        <v>7</v>
      </c>
      <c r="E614" t="s">
        <v>1925</v>
      </c>
      <c r="F614" t="s">
        <v>89</v>
      </c>
      <c r="G614" t="s">
        <v>24</v>
      </c>
      <c r="H614" t="s">
        <v>2760</v>
      </c>
      <c r="I614" t="s">
        <v>39</v>
      </c>
      <c r="J614" t="s">
        <v>40</v>
      </c>
      <c r="K614" t="s">
        <v>74</v>
      </c>
      <c r="L614" t="s">
        <v>171</v>
      </c>
      <c r="M614" t="s">
        <v>1926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>
        <v>1</v>
      </c>
      <c r="X614" t="s">
        <v>2765</v>
      </c>
      <c r="Y614">
        <f t="shared" si="91"/>
        <v>0</v>
      </c>
      <c r="Z614">
        <f t="shared" si="92"/>
        <v>3844.01</v>
      </c>
      <c r="AA614">
        <f t="shared" si="93"/>
        <v>1648.2200000000003</v>
      </c>
      <c r="AB614" s="7">
        <f t="shared" si="94"/>
        <v>0.42877619985379856</v>
      </c>
      <c r="AC614" t="str">
        <f t="shared" si="95"/>
        <v>April</v>
      </c>
      <c r="AD614">
        <f t="shared" si="96"/>
        <v>2025</v>
      </c>
      <c r="AE614" t="str">
        <f t="shared" si="97"/>
        <v>Clean</v>
      </c>
      <c r="AF614" t="str">
        <f t="shared" si="98"/>
        <v>Match</v>
      </c>
      <c r="AG614" t="str">
        <f t="shared" si="99"/>
        <v>Match</v>
      </c>
    </row>
    <row r="615" spans="1:33">
      <c r="A615" t="s">
        <v>1927</v>
      </c>
      <c r="B615" s="3">
        <v>45570</v>
      </c>
      <c r="C615" s="3">
        <v>45575</v>
      </c>
      <c r="D615">
        <f t="shared" si="90"/>
        <v>5</v>
      </c>
      <c r="E615" t="s">
        <v>1928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1929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>
        <v>1</v>
      </c>
      <c r="X615" t="s">
        <v>2765</v>
      </c>
      <c r="Y615">
        <f t="shared" si="91"/>
        <v>0.25</v>
      </c>
      <c r="Z615">
        <f t="shared" si="92"/>
        <v>22688.775000000001</v>
      </c>
      <c r="AA615">
        <f t="shared" si="93"/>
        <v>8016.3650000000016</v>
      </c>
      <c r="AB615" s="7">
        <f t="shared" si="94"/>
        <v>0.35331854628555315</v>
      </c>
      <c r="AC615" t="str">
        <f t="shared" si="95"/>
        <v>October</v>
      </c>
      <c r="AD615">
        <f t="shared" si="96"/>
        <v>2024</v>
      </c>
      <c r="AE615" t="str">
        <f t="shared" si="97"/>
        <v>Clean</v>
      </c>
      <c r="AF615" t="str">
        <f t="shared" si="98"/>
        <v>Match</v>
      </c>
      <c r="AG615" t="str">
        <f t="shared" si="99"/>
        <v>Match</v>
      </c>
    </row>
    <row r="616" spans="1:33">
      <c r="A616" t="s">
        <v>1930</v>
      </c>
      <c r="B616" s="3">
        <v>45333</v>
      </c>
      <c r="C616" s="3">
        <v>45341</v>
      </c>
      <c r="D616">
        <f t="shared" si="90"/>
        <v>8</v>
      </c>
      <c r="E616" t="s">
        <v>1931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1932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>
        <v>1</v>
      </c>
      <c r="X616" t="s">
        <v>2765</v>
      </c>
      <c r="Y616">
        <f t="shared" si="91"/>
        <v>0.25</v>
      </c>
      <c r="Z616">
        <f t="shared" si="92"/>
        <v>20389.920000000002</v>
      </c>
      <c r="AA616">
        <f t="shared" si="93"/>
        <v>3728.84</v>
      </c>
      <c r="AB616" s="7">
        <f t="shared" si="94"/>
        <v>0.18287663708342161</v>
      </c>
      <c r="AC616" t="str">
        <f t="shared" si="95"/>
        <v>February</v>
      </c>
      <c r="AD616">
        <f t="shared" si="96"/>
        <v>2024</v>
      </c>
      <c r="AE616" t="str">
        <f t="shared" si="97"/>
        <v>Clean</v>
      </c>
      <c r="AF616" t="str">
        <f t="shared" si="98"/>
        <v>Match</v>
      </c>
      <c r="AG616" t="str">
        <f t="shared" si="99"/>
        <v>Match</v>
      </c>
    </row>
    <row r="617" spans="1:33">
      <c r="A617" t="s">
        <v>1933</v>
      </c>
      <c r="B617" s="3">
        <v>45569</v>
      </c>
      <c r="C617" s="3">
        <v>45572</v>
      </c>
      <c r="D617">
        <f t="shared" si="90"/>
        <v>3</v>
      </c>
      <c r="E617" t="s">
        <v>1934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1935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>
        <v>1</v>
      </c>
      <c r="X617" t="s">
        <v>2765</v>
      </c>
      <c r="Y617">
        <f t="shared" si="91"/>
        <v>0.1</v>
      </c>
      <c r="Z617">
        <f t="shared" si="92"/>
        <v>5659.884</v>
      </c>
      <c r="AA617">
        <f t="shared" si="93"/>
        <v>1322.0940000000001</v>
      </c>
      <c r="AB617" s="7">
        <f t="shared" si="94"/>
        <v>0.23359029973052453</v>
      </c>
      <c r="AC617" t="str">
        <f t="shared" si="95"/>
        <v>October</v>
      </c>
      <c r="AD617">
        <f t="shared" si="96"/>
        <v>2024</v>
      </c>
      <c r="AE617" t="str">
        <f t="shared" si="97"/>
        <v>Clean</v>
      </c>
      <c r="AF617" t="str">
        <f t="shared" si="98"/>
        <v>Mismatch</v>
      </c>
      <c r="AG617" t="str">
        <f t="shared" si="99"/>
        <v>Match</v>
      </c>
    </row>
    <row r="618" spans="1:33">
      <c r="A618" t="s">
        <v>1936</v>
      </c>
      <c r="B618" s="3">
        <v>45520</v>
      </c>
      <c r="C618" s="3">
        <v>45523</v>
      </c>
      <c r="D618">
        <f t="shared" si="90"/>
        <v>3</v>
      </c>
      <c r="E618" t="s">
        <v>1937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1938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>
        <v>1</v>
      </c>
      <c r="X618" t="s">
        <v>2765</v>
      </c>
      <c r="Y618">
        <f t="shared" si="91"/>
        <v>0.2</v>
      </c>
      <c r="Z618">
        <f t="shared" si="92"/>
        <v>18842.640000000003</v>
      </c>
      <c r="AA618">
        <f t="shared" si="93"/>
        <v>7002.0600000000031</v>
      </c>
      <c r="AB618" s="7">
        <f t="shared" si="94"/>
        <v>0.37160716332743193</v>
      </c>
      <c r="AC618" t="str">
        <f t="shared" si="95"/>
        <v>August</v>
      </c>
      <c r="AD618">
        <f t="shared" si="96"/>
        <v>2024</v>
      </c>
      <c r="AE618" t="str">
        <f t="shared" si="97"/>
        <v>Clean</v>
      </c>
      <c r="AF618" t="str">
        <f t="shared" si="98"/>
        <v>Match</v>
      </c>
      <c r="AG618" t="str">
        <f t="shared" si="99"/>
        <v>Match</v>
      </c>
    </row>
    <row r="619" spans="1:33">
      <c r="A619" t="s">
        <v>1939</v>
      </c>
      <c r="B619" s="3">
        <v>45564</v>
      </c>
      <c r="C619" s="3">
        <v>45565</v>
      </c>
      <c r="D619">
        <f t="shared" si="90"/>
        <v>1</v>
      </c>
      <c r="E619" t="s">
        <v>1940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1941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>
        <v>1</v>
      </c>
      <c r="X619" t="s">
        <v>2765</v>
      </c>
      <c r="Y619">
        <f t="shared" si="91"/>
        <v>0</v>
      </c>
      <c r="Z619">
        <f t="shared" si="92"/>
        <v>24677.19</v>
      </c>
      <c r="AA619">
        <f t="shared" si="93"/>
        <v>4326.34</v>
      </c>
      <c r="AB619" s="7">
        <f t="shared" si="94"/>
        <v>0.17531736798233513</v>
      </c>
      <c r="AC619" t="str">
        <f t="shared" si="95"/>
        <v>September</v>
      </c>
      <c r="AD619">
        <f t="shared" si="96"/>
        <v>2024</v>
      </c>
      <c r="AE619" t="str">
        <f t="shared" si="97"/>
        <v>Clean</v>
      </c>
      <c r="AF619" t="str">
        <f t="shared" si="98"/>
        <v>Match</v>
      </c>
      <c r="AG619" t="str">
        <f t="shared" si="99"/>
        <v>Match</v>
      </c>
    </row>
    <row r="620" spans="1:33">
      <c r="A620" t="s">
        <v>1942</v>
      </c>
      <c r="B620" s="3">
        <v>45496</v>
      </c>
      <c r="C620" s="3">
        <v>45503</v>
      </c>
      <c r="D620">
        <f t="shared" si="90"/>
        <v>7</v>
      </c>
      <c r="E620" t="s">
        <v>1943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1944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>
        <v>1</v>
      </c>
      <c r="X620" t="s">
        <v>2765</v>
      </c>
      <c r="Y620">
        <f t="shared" si="91"/>
        <v>0.25</v>
      </c>
      <c r="Z620">
        <f t="shared" si="92"/>
        <v>12623.242499999998</v>
      </c>
      <c r="AA620">
        <f t="shared" si="93"/>
        <v>2082.4424999999992</v>
      </c>
      <c r="AB620" s="7">
        <f t="shared" si="94"/>
        <v>0.16496890557239943</v>
      </c>
      <c r="AC620" t="str">
        <f t="shared" si="95"/>
        <v>July</v>
      </c>
      <c r="AD620">
        <f t="shared" si="96"/>
        <v>2024</v>
      </c>
      <c r="AE620" t="str">
        <f t="shared" si="97"/>
        <v>Clean</v>
      </c>
      <c r="AF620" t="str">
        <f t="shared" si="98"/>
        <v>Match</v>
      </c>
      <c r="AG620" t="str">
        <f t="shared" si="99"/>
        <v>Match</v>
      </c>
    </row>
    <row r="621" spans="1:33">
      <c r="A621" t="s">
        <v>1945</v>
      </c>
      <c r="B621" s="3">
        <v>45618</v>
      </c>
      <c r="C621" s="3">
        <v>45623</v>
      </c>
      <c r="D621">
        <f t="shared" si="90"/>
        <v>5</v>
      </c>
      <c r="E621" t="s">
        <v>1946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1947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>
        <v>1</v>
      </c>
      <c r="X621" t="s">
        <v>2765</v>
      </c>
      <c r="Y621">
        <f t="shared" si="91"/>
        <v>0.2</v>
      </c>
      <c r="Z621">
        <f t="shared" si="92"/>
        <v>3401.0080000000003</v>
      </c>
      <c r="AA621">
        <f t="shared" si="93"/>
        <v>483.4680000000003</v>
      </c>
      <c r="AB621" s="7">
        <f t="shared" si="94"/>
        <v>0.14215432601158254</v>
      </c>
      <c r="AC621" t="str">
        <f t="shared" si="95"/>
        <v>November</v>
      </c>
      <c r="AD621">
        <f t="shared" si="96"/>
        <v>2024</v>
      </c>
      <c r="AE621" t="str">
        <f t="shared" si="97"/>
        <v>Clean</v>
      </c>
      <c r="AF621" t="str">
        <f t="shared" si="98"/>
        <v>Match</v>
      </c>
      <c r="AG621" t="str">
        <f t="shared" si="99"/>
        <v>Match</v>
      </c>
    </row>
    <row r="622" spans="1:33">
      <c r="A622" t="s">
        <v>1948</v>
      </c>
      <c r="B622" s="3">
        <v>45522</v>
      </c>
      <c r="C622" s="3">
        <v>45525</v>
      </c>
      <c r="D622">
        <f t="shared" si="90"/>
        <v>3</v>
      </c>
      <c r="E622" t="s">
        <v>1949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1950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>
        <v>1</v>
      </c>
      <c r="X622" t="s">
        <v>2765</v>
      </c>
      <c r="Y622">
        <f t="shared" si="91"/>
        <v>0</v>
      </c>
      <c r="Z622">
        <f t="shared" si="92"/>
        <v>6609.06</v>
      </c>
      <c r="AA622">
        <f t="shared" si="93"/>
        <v>1662.2800000000007</v>
      </c>
      <c r="AB622" s="7">
        <f t="shared" si="94"/>
        <v>0.25151534408826681</v>
      </c>
      <c r="AC622" t="str">
        <f t="shared" si="95"/>
        <v>August</v>
      </c>
      <c r="AD622">
        <f t="shared" si="96"/>
        <v>2024</v>
      </c>
      <c r="AE622" t="str">
        <f t="shared" si="97"/>
        <v>Clean</v>
      </c>
      <c r="AF622" t="str">
        <f t="shared" si="98"/>
        <v>Match</v>
      </c>
      <c r="AG622" t="str">
        <f t="shared" si="99"/>
        <v>Match</v>
      </c>
    </row>
    <row r="623" spans="1:33">
      <c r="A623" t="s">
        <v>1951</v>
      </c>
      <c r="B623" s="3">
        <v>45624</v>
      </c>
      <c r="C623" s="3">
        <v>45632</v>
      </c>
      <c r="D623">
        <f t="shared" si="90"/>
        <v>8</v>
      </c>
      <c r="E623" t="s">
        <v>1952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1953</v>
      </c>
      <c r="N623" t="s">
        <v>44</v>
      </c>
      <c r="O623">
        <v>5</v>
      </c>
      <c r="P623">
        <v>1092.8399999999999</v>
      </c>
      <c r="Q623"/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>
        <v>1</v>
      </c>
      <c r="X623" t="s">
        <v>2765</v>
      </c>
      <c r="Y623">
        <f t="shared" si="91"/>
        <v>0</v>
      </c>
      <c r="Z623">
        <f t="shared" si="92"/>
        <v>5464.2</v>
      </c>
      <c r="AA623">
        <f t="shared" si="93"/>
        <v>2146.1099999999997</v>
      </c>
      <c r="AB623" s="7">
        <f t="shared" si="94"/>
        <v>0.39275831777753373</v>
      </c>
      <c r="AC623" t="str">
        <f t="shared" si="95"/>
        <v>November</v>
      </c>
      <c r="AD623">
        <f t="shared" si="96"/>
        <v>2024</v>
      </c>
      <c r="AE623" t="str">
        <f t="shared" si="97"/>
        <v>Clean</v>
      </c>
      <c r="AF623" t="str">
        <f t="shared" si="98"/>
        <v>Match</v>
      </c>
      <c r="AG623" t="str">
        <f t="shared" si="99"/>
        <v>Match</v>
      </c>
    </row>
    <row r="624" spans="1:33">
      <c r="A624" t="s">
        <v>1954</v>
      </c>
      <c r="B624" s="3">
        <v>45686</v>
      </c>
      <c r="C624" s="3">
        <v>45694</v>
      </c>
      <c r="D624">
        <f t="shared" si="90"/>
        <v>8</v>
      </c>
      <c r="E624" t="s">
        <v>1955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1956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>
        <v>1</v>
      </c>
      <c r="X624" t="s">
        <v>2765</v>
      </c>
      <c r="Y624">
        <f t="shared" si="91"/>
        <v>0.05</v>
      </c>
      <c r="Z624">
        <f t="shared" si="92"/>
        <v>10484.238000000001</v>
      </c>
      <c r="AA624">
        <f t="shared" si="93"/>
        <v>3804.0880000000016</v>
      </c>
      <c r="AB624" s="7">
        <f t="shared" si="94"/>
        <v>0.36283876806306775</v>
      </c>
      <c r="AC624" t="str">
        <f t="shared" si="95"/>
        <v>January</v>
      </c>
      <c r="AD624">
        <f t="shared" si="96"/>
        <v>2025</v>
      </c>
      <c r="AE624" t="str">
        <f t="shared" si="97"/>
        <v>Clean</v>
      </c>
      <c r="AF624" t="str">
        <f t="shared" si="98"/>
        <v>Match</v>
      </c>
      <c r="AG624" t="str">
        <f t="shared" si="99"/>
        <v>Match</v>
      </c>
    </row>
    <row r="625" spans="1:33">
      <c r="A625" t="s">
        <v>1957</v>
      </c>
      <c r="B625" s="3">
        <v>45512</v>
      </c>
      <c r="C625" s="3">
        <v>45518</v>
      </c>
      <c r="D625">
        <f t="shared" si="90"/>
        <v>6</v>
      </c>
      <c r="E625" t="s">
        <v>1958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1959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>
        <v>1</v>
      </c>
      <c r="X625" t="s">
        <v>2765</v>
      </c>
      <c r="Y625">
        <f t="shared" si="91"/>
        <v>0.05</v>
      </c>
      <c r="Z625">
        <f t="shared" si="92"/>
        <v>10329.843999999999</v>
      </c>
      <c r="AA625">
        <f t="shared" si="93"/>
        <v>2817.6239999999989</v>
      </c>
      <c r="AB625" s="7">
        <f t="shared" si="94"/>
        <v>0.27276539703794161</v>
      </c>
      <c r="AC625" t="str">
        <f t="shared" si="95"/>
        <v>August</v>
      </c>
      <c r="AD625">
        <f t="shared" si="96"/>
        <v>2024</v>
      </c>
      <c r="AE625" t="str">
        <f t="shared" si="97"/>
        <v>Clean</v>
      </c>
      <c r="AF625" t="str">
        <f t="shared" si="98"/>
        <v>Match</v>
      </c>
      <c r="AG625" t="str">
        <f t="shared" si="99"/>
        <v>Match</v>
      </c>
    </row>
    <row r="626" spans="1:33">
      <c r="A626" t="s">
        <v>1960</v>
      </c>
      <c r="B626" s="3">
        <v>45321</v>
      </c>
      <c r="C626" s="3">
        <v>45323</v>
      </c>
      <c r="D626">
        <f t="shared" si="90"/>
        <v>2</v>
      </c>
      <c r="E626" t="s">
        <v>1961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1962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>
        <v>1</v>
      </c>
      <c r="X626" t="s">
        <v>2765</v>
      </c>
      <c r="Y626">
        <f t="shared" si="91"/>
        <v>0.05</v>
      </c>
      <c r="Z626">
        <f t="shared" si="92"/>
        <v>8456.9569999999985</v>
      </c>
      <c r="AA626">
        <f t="shared" si="93"/>
        <v>2994.1069999999982</v>
      </c>
      <c r="AB626" s="7">
        <f t="shared" si="94"/>
        <v>0.35404070282017502</v>
      </c>
      <c r="AC626" t="str">
        <f t="shared" si="95"/>
        <v>January</v>
      </c>
      <c r="AD626">
        <f t="shared" si="96"/>
        <v>2024</v>
      </c>
      <c r="AE626" t="str">
        <f t="shared" si="97"/>
        <v>Clean</v>
      </c>
      <c r="AF626" t="str">
        <f t="shared" si="98"/>
        <v>Match</v>
      </c>
      <c r="AG626" t="str">
        <f t="shared" si="99"/>
        <v>Match</v>
      </c>
    </row>
    <row r="627" spans="1:33">
      <c r="A627" t="s">
        <v>1963</v>
      </c>
      <c r="B627" s="3">
        <v>45641</v>
      </c>
      <c r="C627" s="3">
        <v>45647</v>
      </c>
      <c r="D627">
        <f t="shared" si="90"/>
        <v>6</v>
      </c>
      <c r="E627" t="s">
        <v>1964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1965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>
        <v>1</v>
      </c>
      <c r="X627" t="s">
        <v>2765</v>
      </c>
      <c r="Y627">
        <f t="shared" si="91"/>
        <v>0.2</v>
      </c>
      <c r="Z627">
        <f t="shared" si="92"/>
        <v>1266.4079999999999</v>
      </c>
      <c r="AA627">
        <f t="shared" si="93"/>
        <v>282.48799999999994</v>
      </c>
      <c r="AB627" s="7">
        <f t="shared" si="94"/>
        <v>0.22306239379410109</v>
      </c>
      <c r="AC627" t="str">
        <f t="shared" si="95"/>
        <v>December</v>
      </c>
      <c r="AD627">
        <f t="shared" si="96"/>
        <v>2024</v>
      </c>
      <c r="AE627" t="str">
        <f t="shared" si="97"/>
        <v>Clean</v>
      </c>
      <c r="AF627" t="str">
        <f t="shared" si="98"/>
        <v>Match</v>
      </c>
      <c r="AG627" t="str">
        <f t="shared" si="99"/>
        <v>Match</v>
      </c>
    </row>
    <row r="628" spans="1:33">
      <c r="A628" t="s">
        <v>1966</v>
      </c>
      <c r="B628" s="3">
        <v>45812</v>
      </c>
      <c r="C628" s="3">
        <v>45815</v>
      </c>
      <c r="D628">
        <f t="shared" si="90"/>
        <v>3</v>
      </c>
      <c r="E628" t="s">
        <v>1967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1968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>
        <v>1</v>
      </c>
      <c r="X628" t="s">
        <v>2765</v>
      </c>
      <c r="Y628">
        <f t="shared" si="91"/>
        <v>0</v>
      </c>
      <c r="Z628">
        <f t="shared" si="92"/>
        <v>11473.04</v>
      </c>
      <c r="AA628">
        <f t="shared" si="93"/>
        <v>2541.7100000000009</v>
      </c>
      <c r="AB628" s="7">
        <f t="shared" si="94"/>
        <v>0.22153762211236086</v>
      </c>
      <c r="AC628" t="str">
        <f t="shared" si="95"/>
        <v>June</v>
      </c>
      <c r="AD628">
        <f t="shared" si="96"/>
        <v>2025</v>
      </c>
      <c r="AE628" t="str">
        <f t="shared" si="97"/>
        <v>Clean</v>
      </c>
      <c r="AF628" t="str">
        <f t="shared" si="98"/>
        <v>Match</v>
      </c>
      <c r="AG628" t="str">
        <f t="shared" si="99"/>
        <v>Match</v>
      </c>
    </row>
    <row r="629" spans="1:33">
      <c r="A629" t="s">
        <v>1969</v>
      </c>
      <c r="B629" s="3">
        <v>45701</v>
      </c>
      <c r="C629" s="3">
        <v>45709</v>
      </c>
      <c r="D629">
        <f t="shared" si="90"/>
        <v>8</v>
      </c>
      <c r="E629" t="s">
        <v>1970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1971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>
        <v>1</v>
      </c>
      <c r="X629" t="s">
        <v>2765</v>
      </c>
      <c r="Y629">
        <f t="shared" si="91"/>
        <v>0.15</v>
      </c>
      <c r="Z629">
        <f t="shared" si="92"/>
        <v>4012.0339999999997</v>
      </c>
      <c r="AA629">
        <f t="shared" si="93"/>
        <v>869.11399999999958</v>
      </c>
      <c r="AB629" s="7">
        <f t="shared" si="94"/>
        <v>0.21662677833737193</v>
      </c>
      <c r="AC629" t="str">
        <f t="shared" si="95"/>
        <v>February</v>
      </c>
      <c r="AD629">
        <f t="shared" si="96"/>
        <v>2025</v>
      </c>
      <c r="AE629" t="str">
        <f t="shared" si="97"/>
        <v>Clean</v>
      </c>
      <c r="AF629" t="str">
        <f t="shared" si="98"/>
        <v>Match</v>
      </c>
      <c r="AG629" t="str">
        <f t="shared" si="99"/>
        <v>Match</v>
      </c>
    </row>
    <row r="630" spans="1:33">
      <c r="A630" t="s">
        <v>1972</v>
      </c>
      <c r="B630" s="3">
        <v>45935</v>
      </c>
      <c r="C630" s="3">
        <v>45942</v>
      </c>
      <c r="D630">
        <f t="shared" si="90"/>
        <v>7</v>
      </c>
      <c r="E630" t="s">
        <v>1973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1974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>
        <v>1</v>
      </c>
      <c r="X630" t="s">
        <v>2765</v>
      </c>
      <c r="Y630">
        <f t="shared" si="91"/>
        <v>0.05</v>
      </c>
      <c r="Z630">
        <f t="shared" si="92"/>
        <v>5364.3554999999997</v>
      </c>
      <c r="AA630">
        <f t="shared" si="93"/>
        <v>973.0654999999997</v>
      </c>
      <c r="AB630" s="7">
        <f t="shared" si="94"/>
        <v>0.18139467080434915</v>
      </c>
      <c r="AC630" t="str">
        <f t="shared" si="95"/>
        <v>October</v>
      </c>
      <c r="AD630">
        <f t="shared" si="96"/>
        <v>2025</v>
      </c>
      <c r="AE630" t="str">
        <f t="shared" si="97"/>
        <v>Clean</v>
      </c>
      <c r="AF630" t="str">
        <f t="shared" si="98"/>
        <v>Match</v>
      </c>
      <c r="AG630" t="str">
        <f t="shared" si="99"/>
        <v>Match</v>
      </c>
    </row>
    <row r="631" spans="1:33">
      <c r="A631" t="s">
        <v>1975</v>
      </c>
      <c r="B631" s="3">
        <v>45910</v>
      </c>
      <c r="C631" s="3">
        <v>45914</v>
      </c>
      <c r="D631">
        <f t="shared" si="90"/>
        <v>4</v>
      </c>
      <c r="E631" t="s">
        <v>1976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1977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>
        <v>1</v>
      </c>
      <c r="X631" t="s">
        <v>2765</v>
      </c>
      <c r="Y631">
        <f t="shared" si="91"/>
        <v>0.15</v>
      </c>
      <c r="Z631">
        <f t="shared" si="92"/>
        <v>10706.073</v>
      </c>
      <c r="AA631">
        <f t="shared" si="93"/>
        <v>4778.973</v>
      </c>
      <c r="AB631" s="7">
        <f t="shared" si="94"/>
        <v>0.44637963892082555</v>
      </c>
      <c r="AC631" t="str">
        <f t="shared" si="95"/>
        <v>September</v>
      </c>
      <c r="AD631">
        <f t="shared" si="96"/>
        <v>2025</v>
      </c>
      <c r="AE631" t="str">
        <f t="shared" si="97"/>
        <v>Clean</v>
      </c>
      <c r="AF631" t="str">
        <f t="shared" si="98"/>
        <v>Match</v>
      </c>
      <c r="AG631" t="str">
        <f t="shared" si="99"/>
        <v>Match</v>
      </c>
    </row>
    <row r="632" spans="1:33">
      <c r="A632" t="s">
        <v>1978</v>
      </c>
      <c r="B632" s="3">
        <v>45391</v>
      </c>
      <c r="C632" s="3">
        <v>45392</v>
      </c>
      <c r="D632">
        <f t="shared" si="90"/>
        <v>1</v>
      </c>
      <c r="E632" t="s">
        <v>1979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1980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>
        <v>1</v>
      </c>
      <c r="X632" t="s">
        <v>2765</v>
      </c>
      <c r="Y632">
        <f t="shared" si="91"/>
        <v>0.1</v>
      </c>
      <c r="Z632">
        <f t="shared" si="92"/>
        <v>10969.380000000001</v>
      </c>
      <c r="AA632">
        <f t="shared" si="93"/>
        <v>1714.9200000000019</v>
      </c>
      <c r="AB632" s="7">
        <f t="shared" si="94"/>
        <v>0.15633700354988173</v>
      </c>
      <c r="AC632" t="str">
        <f t="shared" si="95"/>
        <v>April</v>
      </c>
      <c r="AD632">
        <f t="shared" si="96"/>
        <v>2024</v>
      </c>
      <c r="AE632" t="str">
        <f t="shared" si="97"/>
        <v>Clean</v>
      </c>
      <c r="AF632" t="str">
        <f t="shared" si="98"/>
        <v>Match</v>
      </c>
      <c r="AG632" t="str">
        <f t="shared" si="99"/>
        <v>Match</v>
      </c>
    </row>
    <row r="633" spans="1:33">
      <c r="A633" t="s">
        <v>1981</v>
      </c>
      <c r="B633" s="3">
        <v>45392</v>
      </c>
      <c r="C633" s="3">
        <v>45397</v>
      </c>
      <c r="D633">
        <f t="shared" si="90"/>
        <v>5</v>
      </c>
      <c r="E633" t="s">
        <v>1982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1983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>
        <v>1</v>
      </c>
      <c r="X633" t="s">
        <v>2765</v>
      </c>
      <c r="Y633">
        <f t="shared" si="91"/>
        <v>0.1</v>
      </c>
      <c r="Z633">
        <f t="shared" si="92"/>
        <v>31409.855999999996</v>
      </c>
      <c r="AA633">
        <f t="shared" si="93"/>
        <v>8886.3159999999953</v>
      </c>
      <c r="AB633" s="7">
        <f t="shared" si="94"/>
        <v>0.2829148914277097</v>
      </c>
      <c r="AC633" t="str">
        <f t="shared" si="95"/>
        <v>April</v>
      </c>
      <c r="AD633">
        <f t="shared" si="96"/>
        <v>2024</v>
      </c>
      <c r="AE633" t="str">
        <f t="shared" si="97"/>
        <v>Clean</v>
      </c>
      <c r="AF633" t="str">
        <f t="shared" si="98"/>
        <v>Match</v>
      </c>
      <c r="AG633" t="str">
        <f t="shared" si="99"/>
        <v>Match</v>
      </c>
    </row>
    <row r="634" spans="1:33">
      <c r="A634" t="s">
        <v>1984</v>
      </c>
      <c r="B634" s="3">
        <v>45762</v>
      </c>
      <c r="C634" s="3">
        <v>45763</v>
      </c>
      <c r="D634">
        <f t="shared" si="90"/>
        <v>1</v>
      </c>
      <c r="E634" t="s">
        <v>1985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1986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>
        <v>1</v>
      </c>
      <c r="X634" t="s">
        <v>2765</v>
      </c>
      <c r="Y634">
        <f t="shared" si="91"/>
        <v>0</v>
      </c>
      <c r="Z634">
        <f t="shared" si="92"/>
        <v>14252.650000000001</v>
      </c>
      <c r="AA634">
        <f t="shared" si="93"/>
        <v>2694.340000000002</v>
      </c>
      <c r="AB634" s="7">
        <f t="shared" si="94"/>
        <v>0.18904133617257154</v>
      </c>
      <c r="AC634" t="str">
        <f t="shared" si="95"/>
        <v>April</v>
      </c>
      <c r="AD634">
        <f t="shared" si="96"/>
        <v>2025</v>
      </c>
      <c r="AE634" t="str">
        <f t="shared" si="97"/>
        <v>Clean</v>
      </c>
      <c r="AF634" t="str">
        <f t="shared" si="98"/>
        <v>Match</v>
      </c>
      <c r="AG634" t="str">
        <f t="shared" si="99"/>
        <v>Match</v>
      </c>
    </row>
    <row r="635" spans="1:33">
      <c r="A635" t="s">
        <v>1987</v>
      </c>
      <c r="B635" s="3">
        <v>45765</v>
      </c>
      <c r="C635" s="3">
        <v>45767</v>
      </c>
      <c r="D635">
        <f t="shared" si="90"/>
        <v>2</v>
      </c>
      <c r="E635" t="s">
        <v>1988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1989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>
        <v>1</v>
      </c>
      <c r="X635" t="s">
        <v>2765</v>
      </c>
      <c r="Y635">
        <f t="shared" si="91"/>
        <v>0.15</v>
      </c>
      <c r="Z635">
        <f t="shared" si="92"/>
        <v>1382.1679999999999</v>
      </c>
      <c r="AA635">
        <f t="shared" si="93"/>
        <v>572.13799999999992</v>
      </c>
      <c r="AB635" s="7">
        <f t="shared" si="94"/>
        <v>0.4139424440444287</v>
      </c>
      <c r="AC635" t="str">
        <f t="shared" si="95"/>
        <v>April</v>
      </c>
      <c r="AD635">
        <f t="shared" si="96"/>
        <v>2025</v>
      </c>
      <c r="AE635" t="str">
        <f t="shared" si="97"/>
        <v>Clean</v>
      </c>
      <c r="AF635" t="str">
        <f t="shared" si="98"/>
        <v>Match</v>
      </c>
      <c r="AG635" t="str">
        <f t="shared" si="99"/>
        <v>Match</v>
      </c>
    </row>
    <row r="636" spans="1:33">
      <c r="A636" t="s">
        <v>1990</v>
      </c>
      <c r="B636" s="3">
        <v>45668</v>
      </c>
      <c r="C636" s="3">
        <v>45669</v>
      </c>
      <c r="D636">
        <f t="shared" si="90"/>
        <v>1</v>
      </c>
      <c r="E636" t="s">
        <v>1991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1992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>
        <v>1</v>
      </c>
      <c r="X636" t="s">
        <v>2765</v>
      </c>
      <c r="Y636">
        <f t="shared" si="91"/>
        <v>0.05</v>
      </c>
      <c r="Z636">
        <f t="shared" si="92"/>
        <v>9223.17</v>
      </c>
      <c r="AA636">
        <f t="shared" si="93"/>
        <v>4119.47</v>
      </c>
      <c r="AB636" s="7">
        <f t="shared" si="94"/>
        <v>0.44664361602355807</v>
      </c>
      <c r="AC636" t="str">
        <f t="shared" si="95"/>
        <v>January</v>
      </c>
      <c r="AD636">
        <f t="shared" si="96"/>
        <v>2025</v>
      </c>
      <c r="AE636" t="str">
        <f t="shared" si="97"/>
        <v>Clean</v>
      </c>
      <c r="AF636" t="str">
        <f t="shared" si="98"/>
        <v>Match</v>
      </c>
      <c r="AG636" t="str">
        <f t="shared" si="99"/>
        <v>Match</v>
      </c>
    </row>
    <row r="637" spans="1:33">
      <c r="A637" t="s">
        <v>1993</v>
      </c>
      <c r="B637" s="3">
        <v>45432</v>
      </c>
      <c r="C637" s="3">
        <v>45437</v>
      </c>
      <c r="D637">
        <f t="shared" si="90"/>
        <v>5</v>
      </c>
      <c r="E637" t="s">
        <v>1994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1995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>
        <v>1</v>
      </c>
      <c r="X637" t="s">
        <v>2765</v>
      </c>
      <c r="Y637">
        <f t="shared" si="91"/>
        <v>0.25</v>
      </c>
      <c r="Z637">
        <f t="shared" si="92"/>
        <v>16394.962500000001</v>
      </c>
      <c r="AA637">
        <f t="shared" si="93"/>
        <v>5990.7925000000014</v>
      </c>
      <c r="AB637" s="7">
        <f t="shared" si="94"/>
        <v>0.36540446493854445</v>
      </c>
      <c r="AC637" t="str">
        <f t="shared" si="95"/>
        <v>May</v>
      </c>
      <c r="AD637">
        <f t="shared" si="96"/>
        <v>2024</v>
      </c>
      <c r="AE637" t="str">
        <f t="shared" si="97"/>
        <v>Clean</v>
      </c>
      <c r="AF637" t="str">
        <f t="shared" si="98"/>
        <v>Match</v>
      </c>
      <c r="AG637" t="str">
        <f t="shared" si="99"/>
        <v>Match</v>
      </c>
    </row>
    <row r="638" spans="1:33">
      <c r="A638" t="s">
        <v>1996</v>
      </c>
      <c r="B638" s="3">
        <v>45567</v>
      </c>
      <c r="C638" s="3">
        <v>45574</v>
      </c>
      <c r="D638">
        <f t="shared" si="90"/>
        <v>7</v>
      </c>
      <c r="E638" t="s">
        <v>1997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1998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>
        <v>1</v>
      </c>
      <c r="X638" t="s">
        <v>2765</v>
      </c>
      <c r="Y638">
        <f t="shared" si="91"/>
        <v>0.15</v>
      </c>
      <c r="Z638">
        <f t="shared" si="92"/>
        <v>12990.108</v>
      </c>
      <c r="AA638">
        <f t="shared" si="93"/>
        <v>2789.3080000000009</v>
      </c>
      <c r="AB638" s="7">
        <f t="shared" si="94"/>
        <v>0.2147255434673831</v>
      </c>
      <c r="AC638" t="str">
        <f t="shared" si="95"/>
        <v>October</v>
      </c>
      <c r="AD638">
        <f t="shared" si="96"/>
        <v>2024</v>
      </c>
      <c r="AE638" t="str">
        <f t="shared" si="97"/>
        <v>Clean</v>
      </c>
      <c r="AF638" t="str">
        <f t="shared" si="98"/>
        <v>Match</v>
      </c>
      <c r="AG638" t="str">
        <f t="shared" si="99"/>
        <v>Match</v>
      </c>
    </row>
    <row r="639" spans="1:33">
      <c r="A639" t="s">
        <v>1999</v>
      </c>
      <c r="B639" s="3">
        <v>45438</v>
      </c>
      <c r="C639" s="3">
        <v>45438</v>
      </c>
      <c r="D639">
        <f t="shared" si="90"/>
        <v>0</v>
      </c>
      <c r="E639" t="s">
        <v>2000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2001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>
        <v>1</v>
      </c>
      <c r="X639" t="s">
        <v>2765</v>
      </c>
      <c r="Y639">
        <f t="shared" si="91"/>
        <v>0.2</v>
      </c>
      <c r="Z639">
        <f t="shared" si="92"/>
        <v>5107.9520000000002</v>
      </c>
      <c r="AA639">
        <f t="shared" si="93"/>
        <v>1974.8720000000003</v>
      </c>
      <c r="AB639" s="7">
        <f t="shared" si="94"/>
        <v>0.38662696908663202</v>
      </c>
      <c r="AC639" t="str">
        <f t="shared" si="95"/>
        <v>May</v>
      </c>
      <c r="AD639">
        <f t="shared" si="96"/>
        <v>2024</v>
      </c>
      <c r="AE639" t="str">
        <f t="shared" si="97"/>
        <v>Clean</v>
      </c>
      <c r="AF639" t="str">
        <f t="shared" si="98"/>
        <v>Match</v>
      </c>
      <c r="AG639" t="str">
        <f t="shared" si="99"/>
        <v>Match</v>
      </c>
    </row>
    <row r="640" spans="1:33">
      <c r="A640" t="s">
        <v>2002</v>
      </c>
      <c r="B640" s="3">
        <v>45317</v>
      </c>
      <c r="C640" s="3">
        <v>45322</v>
      </c>
      <c r="D640">
        <f t="shared" si="90"/>
        <v>5</v>
      </c>
      <c r="E640" t="s">
        <v>2003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2004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>
        <v>1</v>
      </c>
      <c r="X640" t="s">
        <v>2765</v>
      </c>
      <c r="Y640">
        <f t="shared" si="91"/>
        <v>0.2</v>
      </c>
      <c r="Z640">
        <f t="shared" si="92"/>
        <v>7738.3680000000013</v>
      </c>
      <c r="AA640">
        <f t="shared" si="93"/>
        <v>3111.5180000000009</v>
      </c>
      <c r="AB640" s="7">
        <f t="shared" si="94"/>
        <v>0.40208969126306743</v>
      </c>
      <c r="AC640" t="str">
        <f t="shared" si="95"/>
        <v>January</v>
      </c>
      <c r="AD640">
        <f t="shared" si="96"/>
        <v>2024</v>
      </c>
      <c r="AE640" t="str">
        <f t="shared" si="97"/>
        <v>Clean</v>
      </c>
      <c r="AF640" t="str">
        <f t="shared" si="98"/>
        <v>Match</v>
      </c>
      <c r="AG640" t="str">
        <f t="shared" si="99"/>
        <v>Match</v>
      </c>
    </row>
    <row r="641" spans="1:33">
      <c r="A641" t="s">
        <v>2005</v>
      </c>
      <c r="B641" s="3">
        <v>45653</v>
      </c>
      <c r="C641" s="3">
        <v>45657</v>
      </c>
      <c r="D641">
        <f t="shared" si="90"/>
        <v>4</v>
      </c>
      <c r="E641" t="s">
        <v>2006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2007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>
        <v>1</v>
      </c>
      <c r="X641" t="s">
        <v>2765</v>
      </c>
      <c r="Y641">
        <f t="shared" si="91"/>
        <v>0.05</v>
      </c>
      <c r="Z641">
        <f t="shared" si="92"/>
        <v>1514.9649999999999</v>
      </c>
      <c r="AA641">
        <f t="shared" si="93"/>
        <v>468.79499999999985</v>
      </c>
      <c r="AB641" s="7">
        <f t="shared" si="94"/>
        <v>0.3094427924077453</v>
      </c>
      <c r="AC641" t="str">
        <f t="shared" si="95"/>
        <v>December</v>
      </c>
      <c r="AD641">
        <f t="shared" si="96"/>
        <v>2024</v>
      </c>
      <c r="AE641" t="str">
        <f t="shared" si="97"/>
        <v>Clean</v>
      </c>
      <c r="AF641" t="str">
        <f t="shared" si="98"/>
        <v>Match</v>
      </c>
      <c r="AG641" t="str">
        <f t="shared" si="99"/>
        <v>Match</v>
      </c>
    </row>
    <row r="642" spans="1:33">
      <c r="A642" t="s">
        <v>2008</v>
      </c>
      <c r="B642" s="3">
        <v>45671</v>
      </c>
      <c r="C642" s="3">
        <v>45674</v>
      </c>
      <c r="D642">
        <f t="shared" ref="D642:D705" si="100">C642-B642</f>
        <v>3</v>
      </c>
      <c r="E642" t="s">
        <v>2009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2010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>
        <v>1</v>
      </c>
      <c r="X642" t="s">
        <v>2765</v>
      </c>
      <c r="Y642">
        <f t="shared" si="91"/>
        <v>0.2</v>
      </c>
      <c r="Z642">
        <f t="shared" si="92"/>
        <v>1267.296</v>
      </c>
      <c r="AA642">
        <f t="shared" si="93"/>
        <v>343.76600000000008</v>
      </c>
      <c r="AB642" s="7">
        <f t="shared" si="94"/>
        <v>0.27125943741635739</v>
      </c>
      <c r="AC642" t="str">
        <f t="shared" si="95"/>
        <v>January</v>
      </c>
      <c r="AD642">
        <f t="shared" si="96"/>
        <v>2025</v>
      </c>
      <c r="AE642" t="str">
        <f t="shared" si="97"/>
        <v>Clean</v>
      </c>
      <c r="AF642" t="str">
        <f t="shared" si="98"/>
        <v>Match</v>
      </c>
      <c r="AG642" t="str">
        <f t="shared" si="99"/>
        <v>Match</v>
      </c>
    </row>
    <row r="643" spans="1:33">
      <c r="A643" t="s">
        <v>2011</v>
      </c>
      <c r="B643" s="3">
        <v>45756</v>
      </c>
      <c r="C643" s="3">
        <v>45761</v>
      </c>
      <c r="D643">
        <f t="shared" si="100"/>
        <v>5</v>
      </c>
      <c r="E643" t="s">
        <v>2012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2013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>
        <v>1</v>
      </c>
      <c r="X643" t="s">
        <v>2765</v>
      </c>
      <c r="Y643">
        <f t="shared" ref="Y643:Y706" si="101">IF(
Q643="",
0,
IF(Q643&gt;1,
Q643/100,
Q643)
)</f>
        <v>0</v>
      </c>
      <c r="Z643">
        <f t="shared" ref="Z643:Z706" si="102">O643*P643*(1-Y643)</f>
        <v>6405.74</v>
      </c>
      <c r="AA643">
        <f t="shared" ref="AA643:AA706" si="103">Z643-S643</f>
        <v>2843.87</v>
      </c>
      <c r="AB643" s="7">
        <f t="shared" ref="AB643:AB706" si="104">IF(Z643=0,0,
AA643/Z643)</f>
        <v>0.44395651400150488</v>
      </c>
      <c r="AC643" t="str">
        <f t="shared" ref="AC643:AC706" si="105">TEXT(B643,"mmmm")</f>
        <v>April</v>
      </c>
      <c r="AD643">
        <f t="shared" ref="AD643:AD706" si="106">YEAR(B643)</f>
        <v>2025</v>
      </c>
      <c r="AE643" t="str">
        <f t="shared" ref="AE643:AE706" si="107">IF(
OR(
Y643&lt;0,
D643&lt;0
),
"Invalid",
IF(
X643="Review Required",
"Warning",
"Clean"
)
)</f>
        <v>Clean</v>
      </c>
      <c r="AF643" t="str">
        <f t="shared" ref="AF643:AF706" si="108">IF(ABS(R643-Z643)&gt;0.01,
"Mismatch",
"Match")</f>
        <v>Match</v>
      </c>
      <c r="AG643" t="str">
        <f t="shared" ref="AG643:AG706" si="109">IF(ABS(T643-AA643)&gt;0.01,
"Mismatch",
"Match")</f>
        <v>Match</v>
      </c>
    </row>
    <row r="644" spans="1:33">
      <c r="A644" t="s">
        <v>2014</v>
      </c>
      <c r="B644" s="3">
        <v>45533</v>
      </c>
      <c r="C644" s="3">
        <v>45535</v>
      </c>
      <c r="D644">
        <f t="shared" si="100"/>
        <v>2</v>
      </c>
      <c r="E644" t="s">
        <v>2015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2016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>
        <v>1</v>
      </c>
      <c r="X644" t="s">
        <v>2765</v>
      </c>
      <c r="Y644">
        <f t="shared" si="101"/>
        <v>0.25</v>
      </c>
      <c r="Z644">
        <f t="shared" si="102"/>
        <v>8607.6674999999996</v>
      </c>
      <c r="AA644">
        <f t="shared" si="103"/>
        <v>3270.0274999999992</v>
      </c>
      <c r="AB644" s="7">
        <f t="shared" si="104"/>
        <v>0.37989705108846261</v>
      </c>
      <c r="AC644" t="str">
        <f t="shared" si="105"/>
        <v>August</v>
      </c>
      <c r="AD644">
        <f t="shared" si="106"/>
        <v>2024</v>
      </c>
      <c r="AE644" t="str">
        <f t="shared" si="107"/>
        <v>Clean</v>
      </c>
      <c r="AF644" t="str">
        <f t="shared" si="108"/>
        <v>Match</v>
      </c>
      <c r="AG644" t="str">
        <f t="shared" si="109"/>
        <v>Match</v>
      </c>
    </row>
    <row r="645" spans="1:33">
      <c r="A645" t="s">
        <v>2017</v>
      </c>
      <c r="B645" s="3">
        <v>45327</v>
      </c>
      <c r="C645" s="3">
        <v>45335</v>
      </c>
      <c r="D645">
        <f t="shared" si="100"/>
        <v>8</v>
      </c>
      <c r="E645" t="s">
        <v>719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2018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>
        <v>1</v>
      </c>
      <c r="X645" t="s">
        <v>2765</v>
      </c>
      <c r="Y645">
        <f t="shared" si="101"/>
        <v>0.15</v>
      </c>
      <c r="Z645">
        <f t="shared" si="102"/>
        <v>26324.023999999998</v>
      </c>
      <c r="AA645">
        <f t="shared" si="103"/>
        <v>10046.063999999998</v>
      </c>
      <c r="AB645" s="7">
        <f t="shared" si="104"/>
        <v>0.3816310150758106</v>
      </c>
      <c r="AC645" t="str">
        <f t="shared" si="105"/>
        <v>February</v>
      </c>
      <c r="AD645">
        <f t="shared" si="106"/>
        <v>2024</v>
      </c>
      <c r="AE645" t="str">
        <f t="shared" si="107"/>
        <v>Clean</v>
      </c>
      <c r="AF645" t="str">
        <f t="shared" si="108"/>
        <v>Match</v>
      </c>
      <c r="AG645" t="str">
        <f t="shared" si="109"/>
        <v>Match</v>
      </c>
    </row>
    <row r="646" spans="1:33">
      <c r="A646" t="s">
        <v>2019</v>
      </c>
      <c r="B646" s="3">
        <v>45757</v>
      </c>
      <c r="C646" s="3">
        <v>45764</v>
      </c>
      <c r="D646">
        <f t="shared" si="100"/>
        <v>7</v>
      </c>
      <c r="E646" t="s">
        <v>2020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2021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>
        <v>1</v>
      </c>
      <c r="X646" t="s">
        <v>2765</v>
      </c>
      <c r="Y646">
        <f t="shared" si="101"/>
        <v>0.05</v>
      </c>
      <c r="Z646">
        <f t="shared" si="102"/>
        <v>14250.075999999999</v>
      </c>
      <c r="AA646">
        <f t="shared" si="103"/>
        <v>3335.155999999999</v>
      </c>
      <c r="AB646" s="7">
        <f t="shared" si="104"/>
        <v>0.23404478684885605</v>
      </c>
      <c r="AC646" t="str">
        <f t="shared" si="105"/>
        <v>April</v>
      </c>
      <c r="AD646">
        <f t="shared" si="106"/>
        <v>2025</v>
      </c>
      <c r="AE646" t="str">
        <f t="shared" si="107"/>
        <v>Clean</v>
      </c>
      <c r="AF646" t="str">
        <f t="shared" si="108"/>
        <v>Match</v>
      </c>
      <c r="AG646" t="str">
        <f t="shared" si="109"/>
        <v>Match</v>
      </c>
    </row>
    <row r="647" spans="1:33">
      <c r="A647" t="s">
        <v>2022</v>
      </c>
      <c r="B647" s="3">
        <v>45295</v>
      </c>
      <c r="C647" s="3">
        <v>45300</v>
      </c>
      <c r="D647">
        <f t="shared" si="100"/>
        <v>5</v>
      </c>
      <c r="E647" t="s">
        <v>2023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2024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>
        <v>1</v>
      </c>
      <c r="X647" t="s">
        <v>2765</v>
      </c>
      <c r="Y647">
        <f t="shared" si="101"/>
        <v>0.1</v>
      </c>
      <c r="Z647">
        <f t="shared" si="102"/>
        <v>13087.494000000001</v>
      </c>
      <c r="AA647">
        <f t="shared" si="103"/>
        <v>5478.6040000000003</v>
      </c>
      <c r="AB647" s="7">
        <f t="shared" si="104"/>
        <v>0.41861367806548755</v>
      </c>
      <c r="AC647" t="str">
        <f t="shared" si="105"/>
        <v>January</v>
      </c>
      <c r="AD647">
        <f t="shared" si="106"/>
        <v>2024</v>
      </c>
      <c r="AE647" t="str">
        <f t="shared" si="107"/>
        <v>Clean</v>
      </c>
      <c r="AF647" t="str">
        <f t="shared" si="108"/>
        <v>Match</v>
      </c>
      <c r="AG647" t="str">
        <f t="shared" si="109"/>
        <v>Mismatch</v>
      </c>
    </row>
    <row r="648" spans="1:33">
      <c r="A648" t="s">
        <v>2025</v>
      </c>
      <c r="B648" s="3">
        <v>45553</v>
      </c>
      <c r="C648" s="3">
        <v>45559</v>
      </c>
      <c r="D648">
        <f t="shared" si="100"/>
        <v>6</v>
      </c>
      <c r="E648" t="s">
        <v>2026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2027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>
        <v>1</v>
      </c>
      <c r="X648" t="s">
        <v>2765</v>
      </c>
      <c r="Y648">
        <f t="shared" si="101"/>
        <v>0.25</v>
      </c>
      <c r="Z648">
        <f t="shared" si="102"/>
        <v>1640.5650000000001</v>
      </c>
      <c r="AA648">
        <f t="shared" si="103"/>
        <v>503.58500000000004</v>
      </c>
      <c r="AB648" s="7">
        <f t="shared" si="104"/>
        <v>0.30695827352162214</v>
      </c>
      <c r="AC648" t="str">
        <f t="shared" si="105"/>
        <v>September</v>
      </c>
      <c r="AD648">
        <f t="shared" si="106"/>
        <v>2024</v>
      </c>
      <c r="AE648" t="str">
        <f t="shared" si="107"/>
        <v>Clean</v>
      </c>
      <c r="AF648" t="str">
        <f t="shared" si="108"/>
        <v>Match</v>
      </c>
      <c r="AG648" t="str">
        <f t="shared" si="109"/>
        <v>Match</v>
      </c>
    </row>
    <row r="649" spans="1:33">
      <c r="A649" t="s">
        <v>2028</v>
      </c>
      <c r="B649" s="3">
        <v>45658</v>
      </c>
      <c r="C649" s="3">
        <v>45666</v>
      </c>
      <c r="D649">
        <f t="shared" si="100"/>
        <v>8</v>
      </c>
      <c r="E649" t="s">
        <v>2029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2030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>
        <v>1</v>
      </c>
      <c r="X649" t="s">
        <v>2765</v>
      </c>
      <c r="Y649">
        <f t="shared" si="101"/>
        <v>0.15</v>
      </c>
      <c r="Z649">
        <f t="shared" si="102"/>
        <v>14441.907999999999</v>
      </c>
      <c r="AA649">
        <f t="shared" si="103"/>
        <v>3569.018</v>
      </c>
      <c r="AB649" s="7">
        <f t="shared" si="104"/>
        <v>0.24712925743606731</v>
      </c>
      <c r="AC649" t="str">
        <f t="shared" si="105"/>
        <v>January</v>
      </c>
      <c r="AD649">
        <f t="shared" si="106"/>
        <v>2025</v>
      </c>
      <c r="AE649" t="str">
        <f t="shared" si="107"/>
        <v>Clean</v>
      </c>
      <c r="AF649" t="str">
        <f t="shared" si="108"/>
        <v>Match</v>
      </c>
      <c r="AG649" t="str">
        <f t="shared" si="109"/>
        <v>Match</v>
      </c>
    </row>
    <row r="650" spans="1:33">
      <c r="A650" t="s">
        <v>2031</v>
      </c>
      <c r="B650" s="3">
        <v>45403</v>
      </c>
      <c r="C650" s="3">
        <v>45406</v>
      </c>
      <c r="D650">
        <f t="shared" si="100"/>
        <v>3</v>
      </c>
      <c r="E650" t="s">
        <v>2032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2033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>
        <v>1</v>
      </c>
      <c r="X650" t="s">
        <v>2765</v>
      </c>
      <c r="Y650">
        <f t="shared" si="101"/>
        <v>0.2</v>
      </c>
      <c r="Z650">
        <f t="shared" si="102"/>
        <v>5065.8480000000009</v>
      </c>
      <c r="AA650">
        <f t="shared" si="103"/>
        <v>1548.6180000000008</v>
      </c>
      <c r="AB650" s="7">
        <f t="shared" si="104"/>
        <v>0.30569768378364304</v>
      </c>
      <c r="AC650" t="str">
        <f t="shared" si="105"/>
        <v>April</v>
      </c>
      <c r="AD650">
        <f t="shared" si="106"/>
        <v>2024</v>
      </c>
      <c r="AE650" t="str">
        <f t="shared" si="107"/>
        <v>Clean</v>
      </c>
      <c r="AF650" t="str">
        <f t="shared" si="108"/>
        <v>Match</v>
      </c>
      <c r="AG650" t="str">
        <f t="shared" si="109"/>
        <v>Match</v>
      </c>
    </row>
    <row r="651" spans="1:33">
      <c r="A651" t="s">
        <v>2034</v>
      </c>
      <c r="B651" s="3">
        <v>45880</v>
      </c>
      <c r="C651" s="3">
        <v>45888</v>
      </c>
      <c r="D651">
        <f t="shared" si="100"/>
        <v>8</v>
      </c>
      <c r="E651" t="s">
        <v>2035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2036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>
        <v>1</v>
      </c>
      <c r="X651" t="s">
        <v>2765</v>
      </c>
      <c r="Y651">
        <f t="shared" si="101"/>
        <v>0.25</v>
      </c>
      <c r="Z651">
        <f t="shared" si="102"/>
        <v>6776.88</v>
      </c>
      <c r="AA651">
        <f t="shared" si="103"/>
        <v>2940.6400000000003</v>
      </c>
      <c r="AB651" s="7">
        <f t="shared" si="104"/>
        <v>0.43392239496641527</v>
      </c>
      <c r="AC651" t="str">
        <f t="shared" si="105"/>
        <v>August</v>
      </c>
      <c r="AD651">
        <f t="shared" si="106"/>
        <v>2025</v>
      </c>
      <c r="AE651" t="str">
        <f t="shared" si="107"/>
        <v>Clean</v>
      </c>
      <c r="AF651" t="str">
        <f t="shared" si="108"/>
        <v>Match</v>
      </c>
      <c r="AG651" t="str">
        <f t="shared" si="109"/>
        <v>Match</v>
      </c>
    </row>
    <row r="652" spans="1:33">
      <c r="A652" t="s">
        <v>2037</v>
      </c>
      <c r="B652" s="3">
        <v>45395</v>
      </c>
      <c r="C652" s="3">
        <v>45403</v>
      </c>
      <c r="D652">
        <f t="shared" si="100"/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2038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>
        <v>1</v>
      </c>
      <c r="X652" t="s">
        <v>2765</v>
      </c>
      <c r="Y652">
        <f t="shared" si="101"/>
        <v>0.15</v>
      </c>
      <c r="Z652">
        <f t="shared" si="102"/>
        <v>15760.121999999999</v>
      </c>
      <c r="AA652">
        <f t="shared" si="103"/>
        <v>5828.5919999999987</v>
      </c>
      <c r="AB652" s="7">
        <f t="shared" si="104"/>
        <v>0.36983165485647884</v>
      </c>
      <c r="AC652" t="str">
        <f t="shared" si="105"/>
        <v>April</v>
      </c>
      <c r="AD652">
        <f t="shared" si="106"/>
        <v>2024</v>
      </c>
      <c r="AE652" t="str">
        <f t="shared" si="107"/>
        <v>Clean</v>
      </c>
      <c r="AF652" t="str">
        <f t="shared" si="108"/>
        <v>Match</v>
      </c>
      <c r="AG652" t="str">
        <f t="shared" si="109"/>
        <v>Match</v>
      </c>
    </row>
    <row r="653" spans="1:33">
      <c r="A653" t="s">
        <v>2039</v>
      </c>
      <c r="B653" s="3">
        <v>45875</v>
      </c>
      <c r="C653" s="3">
        <v>45878</v>
      </c>
      <c r="D653">
        <f t="shared" si="100"/>
        <v>3</v>
      </c>
      <c r="E653" t="s">
        <v>2040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2041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>
        <v>1</v>
      </c>
      <c r="X653" t="s">
        <v>2765</v>
      </c>
      <c r="Y653">
        <f t="shared" si="101"/>
        <v>0</v>
      </c>
      <c r="Z653">
        <f t="shared" si="102"/>
        <v>1795.6499999999999</v>
      </c>
      <c r="AA653">
        <f t="shared" si="103"/>
        <v>798.92999999999984</v>
      </c>
      <c r="AB653" s="7">
        <f t="shared" si="104"/>
        <v>0.44492523598696843</v>
      </c>
      <c r="AC653" t="str">
        <f t="shared" si="105"/>
        <v>August</v>
      </c>
      <c r="AD653">
        <f t="shared" si="106"/>
        <v>2025</v>
      </c>
      <c r="AE653" t="str">
        <f t="shared" si="107"/>
        <v>Clean</v>
      </c>
      <c r="AF653" t="str">
        <f t="shared" si="108"/>
        <v>Match</v>
      </c>
      <c r="AG653" t="str">
        <f t="shared" si="109"/>
        <v>Match</v>
      </c>
    </row>
    <row r="654" spans="1:33">
      <c r="A654" t="s">
        <v>2042</v>
      </c>
      <c r="B654" s="3">
        <v>45733</v>
      </c>
      <c r="C654" s="3">
        <v>45737</v>
      </c>
      <c r="D654">
        <f t="shared" si="100"/>
        <v>4</v>
      </c>
      <c r="E654" t="s">
        <v>1686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2043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>
        <v>1</v>
      </c>
      <c r="X654" t="s">
        <v>2765</v>
      </c>
      <c r="Y654">
        <f t="shared" si="101"/>
        <v>0.15</v>
      </c>
      <c r="Z654">
        <f t="shared" si="102"/>
        <v>18362.5075</v>
      </c>
      <c r="AA654">
        <f t="shared" si="103"/>
        <v>7228.5375000000004</v>
      </c>
      <c r="AB654" s="7">
        <f t="shared" si="104"/>
        <v>0.39365742941153326</v>
      </c>
      <c r="AC654" t="str">
        <f t="shared" si="105"/>
        <v>March</v>
      </c>
      <c r="AD654">
        <f t="shared" si="106"/>
        <v>2025</v>
      </c>
      <c r="AE654" t="str">
        <f t="shared" si="107"/>
        <v>Clean</v>
      </c>
      <c r="AF654" t="str">
        <f t="shared" si="108"/>
        <v>Match</v>
      </c>
      <c r="AG654" t="str">
        <f t="shared" si="109"/>
        <v>Match</v>
      </c>
    </row>
    <row r="655" spans="1:33">
      <c r="A655" t="s">
        <v>2044</v>
      </c>
      <c r="B655" s="3">
        <v>45751</v>
      </c>
      <c r="C655" s="3">
        <v>45754</v>
      </c>
      <c r="D655">
        <f t="shared" si="100"/>
        <v>3</v>
      </c>
      <c r="E655" t="s">
        <v>2045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2046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>
        <v>1</v>
      </c>
      <c r="X655" t="s">
        <v>2765</v>
      </c>
      <c r="Y655">
        <f t="shared" si="101"/>
        <v>0.15</v>
      </c>
      <c r="Z655">
        <f t="shared" si="102"/>
        <v>26524.683500000003</v>
      </c>
      <c r="AA655">
        <f t="shared" si="103"/>
        <v>5950.3835000000036</v>
      </c>
      <c r="AB655" s="7">
        <f t="shared" si="104"/>
        <v>0.22433381721595294</v>
      </c>
      <c r="AC655" t="str">
        <f t="shared" si="105"/>
        <v>April</v>
      </c>
      <c r="AD655">
        <f t="shared" si="106"/>
        <v>2025</v>
      </c>
      <c r="AE655" t="str">
        <f t="shared" si="107"/>
        <v>Clean</v>
      </c>
      <c r="AF655" t="str">
        <f t="shared" si="108"/>
        <v>Match</v>
      </c>
      <c r="AG655" t="str">
        <f t="shared" si="109"/>
        <v>Match</v>
      </c>
    </row>
    <row r="656" spans="1:33">
      <c r="A656" t="s">
        <v>2047</v>
      </c>
      <c r="B656" s="3">
        <v>45942</v>
      </c>
      <c r="C656" s="3">
        <v>45946</v>
      </c>
      <c r="D656">
        <f t="shared" si="100"/>
        <v>4</v>
      </c>
      <c r="E656" t="s">
        <v>925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2048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>
        <v>1</v>
      </c>
      <c r="X656" t="s">
        <v>2765</v>
      </c>
      <c r="Y656">
        <f t="shared" si="101"/>
        <v>0.2</v>
      </c>
      <c r="Z656">
        <f t="shared" si="102"/>
        <v>2056.0480000000002</v>
      </c>
      <c r="AA656">
        <f t="shared" si="103"/>
        <v>393.65800000000013</v>
      </c>
      <c r="AB656" s="7">
        <f t="shared" si="104"/>
        <v>0.19146342886936496</v>
      </c>
      <c r="AC656" t="str">
        <f t="shared" si="105"/>
        <v>October</v>
      </c>
      <c r="AD656">
        <f t="shared" si="106"/>
        <v>2025</v>
      </c>
      <c r="AE656" t="str">
        <f t="shared" si="107"/>
        <v>Clean</v>
      </c>
      <c r="AF656" t="str">
        <f t="shared" si="108"/>
        <v>Match</v>
      </c>
      <c r="AG656" t="str">
        <f t="shared" si="109"/>
        <v>Match</v>
      </c>
    </row>
    <row r="657" spans="1:33">
      <c r="A657" t="s">
        <v>2049</v>
      </c>
      <c r="B657" s="3">
        <v>45895</v>
      </c>
      <c r="C657" s="3">
        <v>45895</v>
      </c>
      <c r="D657">
        <f t="shared" si="100"/>
        <v>0</v>
      </c>
      <c r="E657" t="s">
        <v>2050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2051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>
        <v>1</v>
      </c>
      <c r="X657" t="s">
        <v>2765</v>
      </c>
      <c r="Y657">
        <f t="shared" si="101"/>
        <v>0</v>
      </c>
      <c r="Z657">
        <f t="shared" si="102"/>
        <v>8607.2800000000007</v>
      </c>
      <c r="AA657">
        <f t="shared" si="103"/>
        <v>3483.2700000000004</v>
      </c>
      <c r="AB657" s="7">
        <f t="shared" si="104"/>
        <v>0.40468882155570635</v>
      </c>
      <c r="AC657" t="str">
        <f t="shared" si="105"/>
        <v>August</v>
      </c>
      <c r="AD657">
        <f t="shared" si="106"/>
        <v>2025</v>
      </c>
      <c r="AE657" t="str">
        <f t="shared" si="107"/>
        <v>Clean</v>
      </c>
      <c r="AF657" t="str">
        <f t="shared" si="108"/>
        <v>Match</v>
      </c>
      <c r="AG657" t="str">
        <f t="shared" si="109"/>
        <v>Match</v>
      </c>
    </row>
    <row r="658" spans="1:33">
      <c r="A658" t="s">
        <v>2052</v>
      </c>
      <c r="B658" s="3">
        <v>45419</v>
      </c>
      <c r="C658" s="3">
        <v>45426</v>
      </c>
      <c r="D658">
        <f t="shared" si="100"/>
        <v>7</v>
      </c>
      <c r="E658" t="s">
        <v>2053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2054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>
        <v>1</v>
      </c>
      <c r="X658" t="s">
        <v>2765</v>
      </c>
      <c r="Y658">
        <f t="shared" si="101"/>
        <v>-0.05</v>
      </c>
      <c r="Z658">
        <f t="shared" si="102"/>
        <v>11554.62</v>
      </c>
      <c r="AA658">
        <f t="shared" si="103"/>
        <v>3858.3400000000011</v>
      </c>
      <c r="AB658" s="7">
        <f t="shared" si="104"/>
        <v>0.33392184251840396</v>
      </c>
      <c r="AC658" t="str">
        <f t="shared" si="105"/>
        <v>May</v>
      </c>
      <c r="AD658">
        <f t="shared" si="106"/>
        <v>2024</v>
      </c>
      <c r="AE658" t="str">
        <f t="shared" si="107"/>
        <v>Invalid</v>
      </c>
      <c r="AF658" t="str">
        <f t="shared" si="108"/>
        <v>Mismatch</v>
      </c>
      <c r="AG658" t="str">
        <f t="shared" si="109"/>
        <v>Mismatch</v>
      </c>
    </row>
    <row r="659" spans="1:33">
      <c r="A659" t="s">
        <v>2055</v>
      </c>
      <c r="B659" s="3">
        <v>45876</v>
      </c>
      <c r="C659" s="3">
        <v>45879</v>
      </c>
      <c r="D659">
        <f t="shared" si="100"/>
        <v>3</v>
      </c>
      <c r="E659" t="s">
        <v>2056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2057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>
        <v>1</v>
      </c>
      <c r="X659" t="s">
        <v>2765</v>
      </c>
      <c r="Y659">
        <f t="shared" si="101"/>
        <v>0.2</v>
      </c>
      <c r="Z659">
        <f t="shared" si="102"/>
        <v>2033</v>
      </c>
      <c r="AA659">
        <f t="shared" si="103"/>
        <v>741.58999999999992</v>
      </c>
      <c r="AB659" s="7">
        <f t="shared" si="104"/>
        <v>0.36477619281849477</v>
      </c>
      <c r="AC659" t="str">
        <f t="shared" si="105"/>
        <v>August</v>
      </c>
      <c r="AD659">
        <f t="shared" si="106"/>
        <v>2025</v>
      </c>
      <c r="AE659" t="str">
        <f t="shared" si="107"/>
        <v>Clean</v>
      </c>
      <c r="AF659" t="str">
        <f t="shared" si="108"/>
        <v>Match</v>
      </c>
      <c r="AG659" t="str">
        <f t="shared" si="109"/>
        <v>Match</v>
      </c>
    </row>
    <row r="660" spans="1:33">
      <c r="A660" t="s">
        <v>2058</v>
      </c>
      <c r="B660" s="3">
        <v>45817</v>
      </c>
      <c r="C660" s="3">
        <v>45820</v>
      </c>
      <c r="D660">
        <f t="shared" si="100"/>
        <v>3</v>
      </c>
      <c r="E660" t="s">
        <v>2059</v>
      </c>
      <c r="F660" t="s">
        <v>132</v>
      </c>
      <c r="G660" t="s">
        <v>24</v>
      </c>
      <c r="H660" t="s">
        <v>2760</v>
      </c>
      <c r="I660" t="s">
        <v>145</v>
      </c>
      <c r="J660" t="s">
        <v>146</v>
      </c>
      <c r="K660" t="s">
        <v>28</v>
      </c>
      <c r="L660" t="s">
        <v>48</v>
      </c>
      <c r="M660" t="s">
        <v>2060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>
        <v>1</v>
      </c>
      <c r="X660" t="s">
        <v>2765</v>
      </c>
      <c r="Y660">
        <f t="shared" si="101"/>
        <v>0</v>
      </c>
      <c r="Z660">
        <f t="shared" si="102"/>
        <v>19966.940000000002</v>
      </c>
      <c r="AA660">
        <f t="shared" si="103"/>
        <v>7276.1100000000024</v>
      </c>
      <c r="AB660" s="7">
        <f t="shared" si="104"/>
        <v>0.36440786620283339</v>
      </c>
      <c r="AC660" t="str">
        <f t="shared" si="105"/>
        <v>June</v>
      </c>
      <c r="AD660">
        <f t="shared" si="106"/>
        <v>2025</v>
      </c>
      <c r="AE660" t="str">
        <f t="shared" si="107"/>
        <v>Clean</v>
      </c>
      <c r="AF660" t="str">
        <f t="shared" si="108"/>
        <v>Match</v>
      </c>
      <c r="AG660" t="str">
        <f t="shared" si="109"/>
        <v>Match</v>
      </c>
    </row>
    <row r="661" spans="1:33">
      <c r="A661" t="s">
        <v>2061</v>
      </c>
      <c r="B661" s="3">
        <v>45678</v>
      </c>
      <c r="C661" s="3">
        <v>45679</v>
      </c>
      <c r="D661">
        <f t="shared" si="100"/>
        <v>1</v>
      </c>
      <c r="E661" t="s">
        <v>2062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2063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>
        <v>1</v>
      </c>
      <c r="X661" t="s">
        <v>2765</v>
      </c>
      <c r="Y661">
        <f t="shared" si="101"/>
        <v>0.2</v>
      </c>
      <c r="Z661">
        <f t="shared" si="102"/>
        <v>710.89600000000007</v>
      </c>
      <c r="AA661">
        <f t="shared" si="103"/>
        <v>197.01600000000008</v>
      </c>
      <c r="AB661" s="7">
        <f t="shared" si="104"/>
        <v>0.27713758411919615</v>
      </c>
      <c r="AC661" t="str">
        <f t="shared" si="105"/>
        <v>January</v>
      </c>
      <c r="AD661">
        <f t="shared" si="106"/>
        <v>2025</v>
      </c>
      <c r="AE661" t="str">
        <f t="shared" si="107"/>
        <v>Clean</v>
      </c>
      <c r="AF661" t="str">
        <f t="shared" si="108"/>
        <v>Match</v>
      </c>
      <c r="AG661" t="str">
        <f t="shared" si="109"/>
        <v>Match</v>
      </c>
    </row>
    <row r="662" spans="1:33">
      <c r="A662" t="s">
        <v>2064</v>
      </c>
      <c r="B662" s="3">
        <v>45853</v>
      </c>
      <c r="C662" s="3">
        <v>45853</v>
      </c>
      <c r="D662">
        <f t="shared" si="100"/>
        <v>0</v>
      </c>
      <c r="E662" t="s">
        <v>2065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2066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>
        <v>1</v>
      </c>
      <c r="X662" t="s">
        <v>2765</v>
      </c>
      <c r="Y662">
        <f t="shared" si="101"/>
        <v>0.1</v>
      </c>
      <c r="Z662">
        <f t="shared" si="102"/>
        <v>15994.476000000001</v>
      </c>
      <c r="AA662">
        <f t="shared" si="103"/>
        <v>6770.1959999999999</v>
      </c>
      <c r="AB662" s="7">
        <f t="shared" si="104"/>
        <v>0.42328338858991066</v>
      </c>
      <c r="AC662" t="str">
        <f t="shared" si="105"/>
        <v>July</v>
      </c>
      <c r="AD662">
        <f t="shared" si="106"/>
        <v>2025</v>
      </c>
      <c r="AE662" t="str">
        <f t="shared" si="107"/>
        <v>Clean</v>
      </c>
      <c r="AF662" t="str">
        <f t="shared" si="108"/>
        <v>Match</v>
      </c>
      <c r="AG662" t="str">
        <f t="shared" si="109"/>
        <v>Match</v>
      </c>
    </row>
    <row r="663" spans="1:33">
      <c r="A663" t="s">
        <v>2067</v>
      </c>
      <c r="B663" s="3">
        <v>45429</v>
      </c>
      <c r="C663" s="3">
        <v>45434</v>
      </c>
      <c r="D663">
        <f t="shared" si="100"/>
        <v>5</v>
      </c>
      <c r="E663" t="s">
        <v>2068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2069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>
        <v>1</v>
      </c>
      <c r="X663" t="s">
        <v>2765</v>
      </c>
      <c r="Y663">
        <f t="shared" si="101"/>
        <v>0</v>
      </c>
      <c r="Z663">
        <f t="shared" si="102"/>
        <v>1627.5</v>
      </c>
      <c r="AA663">
        <f t="shared" si="103"/>
        <v>687.6</v>
      </c>
      <c r="AB663" s="7">
        <f t="shared" si="104"/>
        <v>0.4224884792626728</v>
      </c>
      <c r="AC663" t="str">
        <f t="shared" si="105"/>
        <v>May</v>
      </c>
      <c r="AD663">
        <f t="shared" si="106"/>
        <v>2024</v>
      </c>
      <c r="AE663" t="str">
        <f t="shared" si="107"/>
        <v>Clean</v>
      </c>
      <c r="AF663" t="str">
        <f t="shared" si="108"/>
        <v>Match</v>
      </c>
      <c r="AG663" t="str">
        <f t="shared" si="109"/>
        <v>Match</v>
      </c>
    </row>
    <row r="664" spans="1:33">
      <c r="A664" t="s">
        <v>2070</v>
      </c>
      <c r="B664" s="3">
        <v>45305</v>
      </c>
      <c r="C664" s="3">
        <v>45309</v>
      </c>
      <c r="D664">
        <f t="shared" si="100"/>
        <v>4</v>
      </c>
      <c r="E664" t="s">
        <v>2071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2072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>
        <v>1</v>
      </c>
      <c r="X664" t="s">
        <v>2765</v>
      </c>
      <c r="Y664">
        <f t="shared" si="101"/>
        <v>0.1</v>
      </c>
      <c r="Z664">
        <f t="shared" si="102"/>
        <v>9637.92</v>
      </c>
      <c r="AA664">
        <f t="shared" si="103"/>
        <v>2308.63</v>
      </c>
      <c r="AB664" s="7">
        <f t="shared" si="104"/>
        <v>0.2395361239769577</v>
      </c>
      <c r="AC664" t="str">
        <f t="shared" si="105"/>
        <v>January</v>
      </c>
      <c r="AD664">
        <f t="shared" si="106"/>
        <v>2024</v>
      </c>
      <c r="AE664" t="str">
        <f t="shared" si="107"/>
        <v>Clean</v>
      </c>
      <c r="AF664" t="str">
        <f t="shared" si="108"/>
        <v>Match</v>
      </c>
      <c r="AG664" t="str">
        <f t="shared" si="109"/>
        <v>Match</v>
      </c>
    </row>
    <row r="665" spans="1:33">
      <c r="A665" t="s">
        <v>2073</v>
      </c>
      <c r="B665" s="3">
        <v>45414</v>
      </c>
      <c r="C665" s="3">
        <v>45420</v>
      </c>
      <c r="D665">
        <f t="shared" si="100"/>
        <v>6</v>
      </c>
      <c r="E665" t="s">
        <v>2074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2075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>
        <v>1</v>
      </c>
      <c r="X665" t="s">
        <v>2765</v>
      </c>
      <c r="Y665">
        <f t="shared" si="101"/>
        <v>-0.24</v>
      </c>
      <c r="Z665">
        <f t="shared" si="102"/>
        <v>7898.8248000000003</v>
      </c>
      <c r="AA665">
        <f t="shared" si="103"/>
        <v>4745.8448000000008</v>
      </c>
      <c r="AB665" s="7">
        <f t="shared" si="104"/>
        <v>0.60082922715287979</v>
      </c>
      <c r="AC665" t="str">
        <f t="shared" si="105"/>
        <v>May</v>
      </c>
      <c r="AD665">
        <f t="shared" si="106"/>
        <v>2024</v>
      </c>
      <c r="AE665" t="str">
        <f t="shared" si="107"/>
        <v>Invalid</v>
      </c>
      <c r="AF665" t="str">
        <f t="shared" si="108"/>
        <v>Mismatch</v>
      </c>
      <c r="AG665" t="str">
        <f t="shared" si="109"/>
        <v>Mismatch</v>
      </c>
    </row>
    <row r="666" spans="1:33">
      <c r="A666" t="s">
        <v>2076</v>
      </c>
      <c r="B666" s="3">
        <v>45633</v>
      </c>
      <c r="C666" s="3">
        <v>45636</v>
      </c>
      <c r="D666">
        <f t="shared" si="100"/>
        <v>3</v>
      </c>
      <c r="E666" t="s">
        <v>2077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2078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>
        <v>1</v>
      </c>
      <c r="X666" t="s">
        <v>2765</v>
      </c>
      <c r="Y666">
        <f t="shared" si="101"/>
        <v>0.2</v>
      </c>
      <c r="Z666">
        <f t="shared" si="102"/>
        <v>1527.0640000000001</v>
      </c>
      <c r="AA666">
        <f t="shared" si="103"/>
        <v>471.17399999999998</v>
      </c>
      <c r="AB666" s="7">
        <f t="shared" si="104"/>
        <v>0.30854895407134209</v>
      </c>
      <c r="AC666" t="str">
        <f t="shared" si="105"/>
        <v>December</v>
      </c>
      <c r="AD666">
        <f t="shared" si="106"/>
        <v>2024</v>
      </c>
      <c r="AE666" t="str">
        <f t="shared" si="107"/>
        <v>Clean</v>
      </c>
      <c r="AF666" t="str">
        <f t="shared" si="108"/>
        <v>Match</v>
      </c>
      <c r="AG666" t="str">
        <f t="shared" si="109"/>
        <v>Match</v>
      </c>
    </row>
    <row r="667" spans="1:33">
      <c r="A667" t="s">
        <v>2079</v>
      </c>
      <c r="B667" s="3">
        <v>45670</v>
      </c>
      <c r="C667" s="3">
        <v>45670</v>
      </c>
      <c r="D667">
        <f t="shared" si="100"/>
        <v>0</v>
      </c>
      <c r="E667" t="s">
        <v>2080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2081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>
        <v>1</v>
      </c>
      <c r="X667" t="s">
        <v>2765</v>
      </c>
      <c r="Y667">
        <f t="shared" si="101"/>
        <v>0.1</v>
      </c>
      <c r="Z667">
        <f t="shared" si="102"/>
        <v>5698.4039999999995</v>
      </c>
      <c r="AA667">
        <f t="shared" si="103"/>
        <v>2057.5139999999997</v>
      </c>
      <c r="AB667" s="7">
        <f t="shared" si="104"/>
        <v>0.36106846759197836</v>
      </c>
      <c r="AC667" t="str">
        <f t="shared" si="105"/>
        <v>January</v>
      </c>
      <c r="AD667">
        <f t="shared" si="106"/>
        <v>2025</v>
      </c>
      <c r="AE667" t="str">
        <f t="shared" si="107"/>
        <v>Clean</v>
      </c>
      <c r="AF667" t="str">
        <f t="shared" si="108"/>
        <v>Match</v>
      </c>
      <c r="AG667" t="str">
        <f t="shared" si="109"/>
        <v>Match</v>
      </c>
    </row>
    <row r="668" spans="1:33">
      <c r="A668" t="s">
        <v>2082</v>
      </c>
      <c r="B668" s="3">
        <v>45464</v>
      </c>
      <c r="C668" s="3">
        <v>45469</v>
      </c>
      <c r="D668">
        <f t="shared" si="100"/>
        <v>5</v>
      </c>
      <c r="E668" t="s">
        <v>2083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2084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>
        <v>1</v>
      </c>
      <c r="X668" t="s">
        <v>2765</v>
      </c>
      <c r="Y668">
        <f t="shared" si="101"/>
        <v>0.05</v>
      </c>
      <c r="Z668">
        <f t="shared" si="102"/>
        <v>265.83849999999995</v>
      </c>
      <c r="AA668">
        <f t="shared" si="103"/>
        <v>42.348499999999945</v>
      </c>
      <c r="AB668" s="7">
        <f t="shared" si="104"/>
        <v>0.15930160605028976</v>
      </c>
      <c r="AC668" t="str">
        <f t="shared" si="105"/>
        <v>June</v>
      </c>
      <c r="AD668">
        <f t="shared" si="106"/>
        <v>2024</v>
      </c>
      <c r="AE668" t="str">
        <f t="shared" si="107"/>
        <v>Clean</v>
      </c>
      <c r="AF668" t="str">
        <f t="shared" si="108"/>
        <v>Match</v>
      </c>
      <c r="AG668" t="str">
        <f t="shared" si="109"/>
        <v>Match</v>
      </c>
    </row>
    <row r="669" spans="1:33">
      <c r="A669" t="s">
        <v>2085</v>
      </c>
      <c r="B669" s="3">
        <v>45797</v>
      </c>
      <c r="C669" s="3">
        <v>45804</v>
      </c>
      <c r="D669">
        <f t="shared" si="100"/>
        <v>7</v>
      </c>
      <c r="E669" t="s">
        <v>2086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2087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>
        <v>1</v>
      </c>
      <c r="X669" t="s">
        <v>2765</v>
      </c>
      <c r="Y669">
        <f t="shared" si="101"/>
        <v>0</v>
      </c>
      <c r="Z669">
        <f t="shared" si="102"/>
        <v>3959.14</v>
      </c>
      <c r="AA669">
        <f t="shared" si="103"/>
        <v>719.60999999999967</v>
      </c>
      <c r="AB669" s="7">
        <f t="shared" si="104"/>
        <v>0.18175916992074029</v>
      </c>
      <c r="AC669" t="str">
        <f t="shared" si="105"/>
        <v>May</v>
      </c>
      <c r="AD669">
        <f t="shared" si="106"/>
        <v>2025</v>
      </c>
      <c r="AE669" t="str">
        <f t="shared" si="107"/>
        <v>Clean</v>
      </c>
      <c r="AF669" t="str">
        <f t="shared" si="108"/>
        <v>Match</v>
      </c>
      <c r="AG669" t="str">
        <f t="shared" si="109"/>
        <v>Match</v>
      </c>
    </row>
    <row r="670" spans="1:33">
      <c r="A670" t="s">
        <v>2088</v>
      </c>
      <c r="B670" s="3">
        <v>45617</v>
      </c>
      <c r="C670" s="3">
        <v>45619</v>
      </c>
      <c r="D670">
        <f t="shared" si="100"/>
        <v>2</v>
      </c>
      <c r="E670" t="s">
        <v>2089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2090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>
        <v>1</v>
      </c>
      <c r="X670" t="s">
        <v>2765</v>
      </c>
      <c r="Y670">
        <f t="shared" si="101"/>
        <v>0.2</v>
      </c>
      <c r="Z670">
        <f t="shared" si="102"/>
        <v>2401.84</v>
      </c>
      <c r="AA670">
        <f t="shared" si="103"/>
        <v>528.73000000000025</v>
      </c>
      <c r="AB670" s="7">
        <f t="shared" si="104"/>
        <v>0.22013539619624964</v>
      </c>
      <c r="AC670" t="str">
        <f t="shared" si="105"/>
        <v>November</v>
      </c>
      <c r="AD670">
        <f t="shared" si="106"/>
        <v>2024</v>
      </c>
      <c r="AE670" t="str">
        <f t="shared" si="107"/>
        <v>Clean</v>
      </c>
      <c r="AF670" t="str">
        <f t="shared" si="108"/>
        <v>Match</v>
      </c>
      <c r="AG670" t="str">
        <f t="shared" si="109"/>
        <v>Match</v>
      </c>
    </row>
    <row r="671" spans="1:33">
      <c r="A671" t="s">
        <v>2091</v>
      </c>
      <c r="B671" s="3">
        <v>45375</v>
      </c>
      <c r="C671" s="3">
        <v>45383</v>
      </c>
      <c r="D671">
        <f t="shared" si="100"/>
        <v>8</v>
      </c>
      <c r="E671" t="s">
        <v>2092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2093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>
        <v>1</v>
      </c>
      <c r="X671" t="s">
        <v>2765</v>
      </c>
      <c r="Y671">
        <f t="shared" si="101"/>
        <v>0.25</v>
      </c>
      <c r="Z671">
        <f t="shared" si="102"/>
        <v>5102.16</v>
      </c>
      <c r="AA671">
        <f t="shared" si="103"/>
        <v>1875.71</v>
      </c>
      <c r="AB671" s="7">
        <f t="shared" si="104"/>
        <v>0.36763057214983458</v>
      </c>
      <c r="AC671" t="str">
        <f t="shared" si="105"/>
        <v>March</v>
      </c>
      <c r="AD671">
        <f t="shared" si="106"/>
        <v>2024</v>
      </c>
      <c r="AE671" t="str">
        <f t="shared" si="107"/>
        <v>Clean</v>
      </c>
      <c r="AF671" t="str">
        <f t="shared" si="108"/>
        <v>Match</v>
      </c>
      <c r="AG671" t="str">
        <f t="shared" si="109"/>
        <v>Match</v>
      </c>
    </row>
    <row r="672" spans="1:33">
      <c r="A672" t="s">
        <v>2094</v>
      </c>
      <c r="B672" s="3">
        <v>45690</v>
      </c>
      <c r="C672" s="3">
        <v>45694</v>
      </c>
      <c r="D672">
        <f t="shared" si="100"/>
        <v>4</v>
      </c>
      <c r="E672" t="s">
        <v>1596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2095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>
        <v>1</v>
      </c>
      <c r="X672" t="s">
        <v>2765</v>
      </c>
      <c r="Y672">
        <f t="shared" si="101"/>
        <v>0.1</v>
      </c>
      <c r="Z672">
        <f t="shared" si="102"/>
        <v>6176.5920000000006</v>
      </c>
      <c r="AA672">
        <f t="shared" si="103"/>
        <v>2615.6320000000005</v>
      </c>
      <c r="AB672" s="7">
        <f t="shared" si="104"/>
        <v>0.42347495188285067</v>
      </c>
      <c r="AC672" t="str">
        <f t="shared" si="105"/>
        <v>February</v>
      </c>
      <c r="AD672">
        <f t="shared" si="106"/>
        <v>2025</v>
      </c>
      <c r="AE672" t="str">
        <f t="shared" si="107"/>
        <v>Clean</v>
      </c>
      <c r="AF672" t="str">
        <f t="shared" si="108"/>
        <v>Match</v>
      </c>
      <c r="AG672" t="str">
        <f t="shared" si="109"/>
        <v>Match</v>
      </c>
    </row>
    <row r="673" spans="1:33">
      <c r="A673" t="s">
        <v>2096</v>
      </c>
      <c r="B673" s="3">
        <v>45373</v>
      </c>
      <c r="C673" s="3">
        <v>45378</v>
      </c>
      <c r="D673">
        <f t="shared" si="100"/>
        <v>5</v>
      </c>
      <c r="E673" t="s">
        <v>2097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2098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>
        <v>1</v>
      </c>
      <c r="X673" t="s">
        <v>2765</v>
      </c>
      <c r="Y673">
        <f t="shared" si="101"/>
        <v>0.05</v>
      </c>
      <c r="Z673">
        <f t="shared" si="102"/>
        <v>31203.310500000003</v>
      </c>
      <c r="AA673">
        <f t="shared" si="103"/>
        <v>13465.180500000002</v>
      </c>
      <c r="AB673" s="7">
        <f t="shared" si="104"/>
        <v>0.43153051020019179</v>
      </c>
      <c r="AC673" t="str">
        <f t="shared" si="105"/>
        <v>March</v>
      </c>
      <c r="AD673">
        <f t="shared" si="106"/>
        <v>2024</v>
      </c>
      <c r="AE673" t="str">
        <f t="shared" si="107"/>
        <v>Clean</v>
      </c>
      <c r="AF673" t="str">
        <f t="shared" si="108"/>
        <v>Match</v>
      </c>
      <c r="AG673" t="str">
        <f t="shared" si="109"/>
        <v>Match</v>
      </c>
    </row>
    <row r="674" spans="1:33">
      <c r="A674" t="s">
        <v>2099</v>
      </c>
      <c r="B674" s="3">
        <v>45539</v>
      </c>
      <c r="C674" s="3">
        <v>45540</v>
      </c>
      <c r="D674">
        <f t="shared" si="100"/>
        <v>1</v>
      </c>
      <c r="E674" t="s">
        <v>2100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2101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>
        <v>1</v>
      </c>
      <c r="X674" t="s">
        <v>2765</v>
      </c>
      <c r="Y674">
        <f t="shared" si="101"/>
        <v>0.05</v>
      </c>
      <c r="Z674">
        <f t="shared" si="102"/>
        <v>12010.5175</v>
      </c>
      <c r="AA674">
        <f t="shared" si="103"/>
        <v>4145.9075000000003</v>
      </c>
      <c r="AB674" s="7">
        <f t="shared" si="104"/>
        <v>0.34518974723612039</v>
      </c>
      <c r="AC674" t="str">
        <f t="shared" si="105"/>
        <v>September</v>
      </c>
      <c r="AD674">
        <f t="shared" si="106"/>
        <v>2024</v>
      </c>
      <c r="AE674" t="str">
        <f t="shared" si="107"/>
        <v>Clean</v>
      </c>
      <c r="AF674" t="str">
        <f t="shared" si="108"/>
        <v>Match</v>
      </c>
      <c r="AG674" t="str">
        <f t="shared" si="109"/>
        <v>Match</v>
      </c>
    </row>
    <row r="675" spans="1:33">
      <c r="A675" t="s">
        <v>2102</v>
      </c>
      <c r="B675" s="3">
        <v>45701</v>
      </c>
      <c r="C675" s="3">
        <v>45704</v>
      </c>
      <c r="D675">
        <f t="shared" si="100"/>
        <v>3</v>
      </c>
      <c r="E675" t="s">
        <v>2103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2104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>
        <v>1</v>
      </c>
      <c r="X675" t="s">
        <v>2765</v>
      </c>
      <c r="Y675">
        <f t="shared" si="101"/>
        <v>0.15</v>
      </c>
      <c r="Z675">
        <f t="shared" si="102"/>
        <v>13847.86</v>
      </c>
      <c r="AA675">
        <f t="shared" si="103"/>
        <v>5376.08</v>
      </c>
      <c r="AB675" s="7">
        <f t="shared" si="104"/>
        <v>0.38822460654570451</v>
      </c>
      <c r="AC675" t="str">
        <f t="shared" si="105"/>
        <v>February</v>
      </c>
      <c r="AD675">
        <f t="shared" si="106"/>
        <v>2025</v>
      </c>
      <c r="AE675" t="str">
        <f t="shared" si="107"/>
        <v>Clean</v>
      </c>
      <c r="AF675" t="str">
        <f t="shared" si="108"/>
        <v>Match</v>
      </c>
      <c r="AG675" t="str">
        <f t="shared" si="109"/>
        <v>Match</v>
      </c>
    </row>
    <row r="676" spans="1:33">
      <c r="A676" t="s">
        <v>2105</v>
      </c>
      <c r="B676" s="3">
        <v>45430</v>
      </c>
      <c r="C676" s="3">
        <v>45433</v>
      </c>
      <c r="D676">
        <f t="shared" si="100"/>
        <v>3</v>
      </c>
      <c r="E676" t="s">
        <v>2106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2107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>
        <v>1</v>
      </c>
      <c r="X676" t="s">
        <v>2765</v>
      </c>
      <c r="Y676">
        <f t="shared" si="101"/>
        <v>0</v>
      </c>
      <c r="Z676">
        <f t="shared" si="102"/>
        <v>1033.71</v>
      </c>
      <c r="AA676">
        <f t="shared" si="103"/>
        <v>402.89</v>
      </c>
      <c r="AB676" s="7">
        <f t="shared" si="104"/>
        <v>0.38975147768716562</v>
      </c>
      <c r="AC676" t="str">
        <f t="shared" si="105"/>
        <v>May</v>
      </c>
      <c r="AD676">
        <f t="shared" si="106"/>
        <v>2024</v>
      </c>
      <c r="AE676" t="str">
        <f t="shared" si="107"/>
        <v>Clean</v>
      </c>
      <c r="AF676" t="str">
        <f t="shared" si="108"/>
        <v>Match</v>
      </c>
      <c r="AG676" t="str">
        <f t="shared" si="109"/>
        <v>Match</v>
      </c>
    </row>
    <row r="677" spans="1:33">
      <c r="A677" t="s">
        <v>2108</v>
      </c>
      <c r="B677" s="3">
        <v>45815</v>
      </c>
      <c r="C677" s="3">
        <v>45818</v>
      </c>
      <c r="D677">
        <f t="shared" si="100"/>
        <v>3</v>
      </c>
      <c r="E677" t="s">
        <v>2009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2109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>
        <v>1</v>
      </c>
      <c r="X677" t="s">
        <v>2765</v>
      </c>
      <c r="Y677">
        <f t="shared" si="101"/>
        <v>0</v>
      </c>
      <c r="Z677">
        <f t="shared" si="102"/>
        <v>2889.7799999999997</v>
      </c>
      <c r="AA677">
        <f t="shared" si="103"/>
        <v>1078.5499999999997</v>
      </c>
      <c r="AB677" s="7">
        <f t="shared" si="104"/>
        <v>0.37322910394562903</v>
      </c>
      <c r="AC677" t="str">
        <f t="shared" si="105"/>
        <v>June</v>
      </c>
      <c r="AD677">
        <f t="shared" si="106"/>
        <v>2025</v>
      </c>
      <c r="AE677" t="str">
        <f t="shared" si="107"/>
        <v>Clean</v>
      </c>
      <c r="AF677" t="str">
        <f t="shared" si="108"/>
        <v>Match</v>
      </c>
      <c r="AG677" t="str">
        <f t="shared" si="109"/>
        <v>Match</v>
      </c>
    </row>
    <row r="678" spans="1:33">
      <c r="A678" t="s">
        <v>2110</v>
      </c>
      <c r="B678" s="3">
        <v>45911</v>
      </c>
      <c r="C678" s="3">
        <v>45918</v>
      </c>
      <c r="D678">
        <f t="shared" si="100"/>
        <v>7</v>
      </c>
      <c r="E678" t="s">
        <v>2111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2112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>
        <v>1</v>
      </c>
      <c r="X678" t="s">
        <v>2765</v>
      </c>
      <c r="Y678">
        <f t="shared" si="101"/>
        <v>0.15</v>
      </c>
      <c r="Z678">
        <f t="shared" si="102"/>
        <v>20296.699499999999</v>
      </c>
      <c r="AA678">
        <f t="shared" si="103"/>
        <v>5375.829499999998</v>
      </c>
      <c r="AB678" s="7">
        <f t="shared" si="104"/>
        <v>0.26486225014071862</v>
      </c>
      <c r="AC678" t="str">
        <f t="shared" si="105"/>
        <v>September</v>
      </c>
      <c r="AD678">
        <f t="shared" si="106"/>
        <v>2025</v>
      </c>
      <c r="AE678" t="str">
        <f t="shared" si="107"/>
        <v>Clean</v>
      </c>
      <c r="AF678" t="str">
        <f t="shared" si="108"/>
        <v>Match</v>
      </c>
      <c r="AG678" t="str">
        <f t="shared" si="109"/>
        <v>Match</v>
      </c>
    </row>
    <row r="679" spans="1:33">
      <c r="A679" t="s">
        <v>2113</v>
      </c>
      <c r="B679" s="3">
        <v>45465</v>
      </c>
      <c r="C679" s="3">
        <v>45470</v>
      </c>
      <c r="D679">
        <f t="shared" si="100"/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2114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>
        <v>1</v>
      </c>
      <c r="X679" t="s">
        <v>2765</v>
      </c>
      <c r="Y679">
        <f t="shared" si="101"/>
        <v>0</v>
      </c>
      <c r="Z679">
        <f t="shared" si="102"/>
        <v>18364.36</v>
      </c>
      <c r="AA679">
        <f t="shared" si="103"/>
        <v>2918.5500000000011</v>
      </c>
      <c r="AB679" s="7">
        <f t="shared" si="104"/>
        <v>0.15892467801763857</v>
      </c>
      <c r="AC679" t="str">
        <f t="shared" si="105"/>
        <v>June</v>
      </c>
      <c r="AD679">
        <f t="shared" si="106"/>
        <v>2024</v>
      </c>
      <c r="AE679" t="str">
        <f t="shared" si="107"/>
        <v>Clean</v>
      </c>
      <c r="AF679" t="str">
        <f t="shared" si="108"/>
        <v>Match</v>
      </c>
      <c r="AG679" t="str">
        <f t="shared" si="109"/>
        <v>Match</v>
      </c>
    </row>
    <row r="680" spans="1:33">
      <c r="A680" t="s">
        <v>2115</v>
      </c>
      <c r="B680" s="3">
        <v>45620</v>
      </c>
      <c r="C680" s="3">
        <v>45627</v>
      </c>
      <c r="D680">
        <f t="shared" si="100"/>
        <v>7</v>
      </c>
      <c r="E680" t="s">
        <v>2116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2117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>
        <v>1</v>
      </c>
      <c r="X680" t="s">
        <v>2765</v>
      </c>
      <c r="Y680">
        <f t="shared" si="101"/>
        <v>0.15</v>
      </c>
      <c r="Z680">
        <f t="shared" si="102"/>
        <v>21141.6165</v>
      </c>
      <c r="AA680">
        <f t="shared" si="103"/>
        <v>9465.2865000000002</v>
      </c>
      <c r="AB680" s="7">
        <f t="shared" si="104"/>
        <v>0.44770874071999178</v>
      </c>
      <c r="AC680" t="str">
        <f t="shared" si="105"/>
        <v>November</v>
      </c>
      <c r="AD680">
        <f t="shared" si="106"/>
        <v>2024</v>
      </c>
      <c r="AE680" t="str">
        <f t="shared" si="107"/>
        <v>Clean</v>
      </c>
      <c r="AF680" t="str">
        <f t="shared" si="108"/>
        <v>Match</v>
      </c>
      <c r="AG680" t="str">
        <f t="shared" si="109"/>
        <v>Match</v>
      </c>
    </row>
    <row r="681" spans="1:33">
      <c r="A681" t="s">
        <v>2118</v>
      </c>
      <c r="B681" s="3">
        <v>45885</v>
      </c>
      <c r="C681" s="3">
        <v>45892</v>
      </c>
      <c r="D681">
        <f t="shared" si="100"/>
        <v>7</v>
      </c>
      <c r="E681" t="s">
        <v>2119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2120</v>
      </c>
      <c r="N681" t="s">
        <v>44</v>
      </c>
      <c r="O681">
        <v>4</v>
      </c>
      <c r="P681">
        <v>1410.57</v>
      </c>
      <c r="Q681" s="5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>
        <v>1</v>
      </c>
      <c r="X681" t="s">
        <v>2765</v>
      </c>
      <c r="Y681">
        <f t="shared" si="101"/>
        <v>0.7</v>
      </c>
      <c r="Z681">
        <f t="shared" si="102"/>
        <v>1692.6840000000002</v>
      </c>
      <c r="AA681">
        <f t="shared" si="103"/>
        <v>-2188.826</v>
      </c>
      <c r="AB681" s="7">
        <f t="shared" si="104"/>
        <v>-1.2931096412561351</v>
      </c>
      <c r="AC681" t="str">
        <f t="shared" si="105"/>
        <v>August</v>
      </c>
      <c r="AD681">
        <f t="shared" si="106"/>
        <v>2025</v>
      </c>
      <c r="AE681" t="str">
        <f t="shared" si="107"/>
        <v>Clean</v>
      </c>
      <c r="AF681" t="str">
        <f t="shared" si="108"/>
        <v>Mismatch</v>
      </c>
      <c r="AG681" t="str">
        <f t="shared" si="109"/>
        <v>Mismatch</v>
      </c>
    </row>
    <row r="682" spans="1:33">
      <c r="A682" t="s">
        <v>2121</v>
      </c>
      <c r="B682" s="3">
        <v>45441</v>
      </c>
      <c r="C682" s="3">
        <v>45448</v>
      </c>
      <c r="D682">
        <f t="shared" si="100"/>
        <v>7</v>
      </c>
      <c r="E682" t="s">
        <v>2122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2123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>
        <v>1</v>
      </c>
      <c r="X682" t="s">
        <v>2765</v>
      </c>
      <c r="Y682">
        <f t="shared" si="101"/>
        <v>0</v>
      </c>
      <c r="Z682">
        <f t="shared" si="102"/>
        <v>14800.96</v>
      </c>
      <c r="AA682">
        <f t="shared" si="103"/>
        <v>2752.5699999999997</v>
      </c>
      <c r="AB682" s="7">
        <f t="shared" si="104"/>
        <v>0.18597239638509933</v>
      </c>
      <c r="AC682" t="str">
        <f t="shared" si="105"/>
        <v>May</v>
      </c>
      <c r="AD682">
        <f t="shared" si="106"/>
        <v>2024</v>
      </c>
      <c r="AE682" t="str">
        <f t="shared" si="107"/>
        <v>Clean</v>
      </c>
      <c r="AF682" t="str">
        <f t="shared" si="108"/>
        <v>Match</v>
      </c>
      <c r="AG682" t="str">
        <f t="shared" si="109"/>
        <v>Match</v>
      </c>
    </row>
    <row r="683" spans="1:33">
      <c r="A683" t="s">
        <v>2124</v>
      </c>
      <c r="B683" s="3">
        <v>45477</v>
      </c>
      <c r="C683" s="3">
        <v>45483</v>
      </c>
      <c r="D683">
        <f t="shared" si="100"/>
        <v>6</v>
      </c>
      <c r="E683" t="s">
        <v>2125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2126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>
        <v>1</v>
      </c>
      <c r="X683" t="s">
        <v>2765</v>
      </c>
      <c r="Y683">
        <f t="shared" si="101"/>
        <v>0</v>
      </c>
      <c r="Z683">
        <f t="shared" si="102"/>
        <v>6001.35</v>
      </c>
      <c r="AA683">
        <f t="shared" si="103"/>
        <v>1818.3600000000006</v>
      </c>
      <c r="AB683" s="7">
        <f t="shared" si="104"/>
        <v>0.30299182683896131</v>
      </c>
      <c r="AC683" t="str">
        <f t="shared" si="105"/>
        <v>July</v>
      </c>
      <c r="AD683">
        <f t="shared" si="106"/>
        <v>2024</v>
      </c>
      <c r="AE683" t="str">
        <f t="shared" si="107"/>
        <v>Clean</v>
      </c>
      <c r="AF683" t="str">
        <f t="shared" si="108"/>
        <v>Match</v>
      </c>
      <c r="AG683" t="str">
        <f t="shared" si="109"/>
        <v>Match</v>
      </c>
    </row>
    <row r="684" spans="1:33">
      <c r="A684" t="s">
        <v>2127</v>
      </c>
      <c r="B684" s="3">
        <v>45693</v>
      </c>
      <c r="C684" s="3">
        <v>45693</v>
      </c>
      <c r="D684">
        <f t="shared" si="100"/>
        <v>0</v>
      </c>
      <c r="E684" t="s">
        <v>2128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2129</v>
      </c>
      <c r="N684" t="s">
        <v>44</v>
      </c>
      <c r="O684">
        <v>3</v>
      </c>
      <c r="P684">
        <v>2590.7800000000002</v>
      </c>
      <c r="Q684"/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>
        <v>1</v>
      </c>
      <c r="X684" t="s">
        <v>2765</v>
      </c>
      <c r="Y684">
        <f t="shared" si="101"/>
        <v>0</v>
      </c>
      <c r="Z684">
        <f t="shared" si="102"/>
        <v>7772.34</v>
      </c>
      <c r="AA684">
        <f t="shared" si="103"/>
        <v>3658.6800000000003</v>
      </c>
      <c r="AB684" s="7">
        <f t="shared" si="104"/>
        <v>0.47073082237781677</v>
      </c>
      <c r="AC684" t="str">
        <f t="shared" si="105"/>
        <v>February</v>
      </c>
      <c r="AD684">
        <f t="shared" si="106"/>
        <v>2025</v>
      </c>
      <c r="AE684" t="str">
        <f t="shared" si="107"/>
        <v>Clean</v>
      </c>
      <c r="AF684" t="str">
        <f t="shared" si="108"/>
        <v>Mismatch</v>
      </c>
      <c r="AG684" t="str">
        <f t="shared" si="109"/>
        <v>Mismatch</v>
      </c>
    </row>
    <row r="685" spans="1:33">
      <c r="A685" t="s">
        <v>2130</v>
      </c>
      <c r="B685" s="3">
        <v>45858</v>
      </c>
      <c r="C685" s="3">
        <v>45862</v>
      </c>
      <c r="D685">
        <f t="shared" si="100"/>
        <v>4</v>
      </c>
      <c r="E685" t="s">
        <v>2131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2132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>
        <v>1</v>
      </c>
      <c r="X685" t="s">
        <v>2765</v>
      </c>
      <c r="Y685">
        <f t="shared" si="101"/>
        <v>0.2</v>
      </c>
      <c r="Z685">
        <f t="shared" si="102"/>
        <v>7902.9600000000009</v>
      </c>
      <c r="AA685">
        <f t="shared" si="103"/>
        <v>2390.9300000000012</v>
      </c>
      <c r="AB685" s="7">
        <f t="shared" si="104"/>
        <v>0.30253601182341816</v>
      </c>
      <c r="AC685" t="str">
        <f t="shared" si="105"/>
        <v>July</v>
      </c>
      <c r="AD685">
        <f t="shared" si="106"/>
        <v>2025</v>
      </c>
      <c r="AE685" t="str">
        <f t="shared" si="107"/>
        <v>Clean</v>
      </c>
      <c r="AF685" t="str">
        <f t="shared" si="108"/>
        <v>Match</v>
      </c>
      <c r="AG685" t="str">
        <f t="shared" si="109"/>
        <v>Match</v>
      </c>
    </row>
    <row r="686" spans="1:33">
      <c r="A686" t="s">
        <v>2133</v>
      </c>
      <c r="B686" s="3">
        <v>45859</v>
      </c>
      <c r="C686" s="3">
        <v>45859</v>
      </c>
      <c r="D686">
        <f t="shared" si="100"/>
        <v>0</v>
      </c>
      <c r="E686" t="s">
        <v>2134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2135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>
        <v>1</v>
      </c>
      <c r="X686" t="s">
        <v>2765</v>
      </c>
      <c r="Y686">
        <f t="shared" si="101"/>
        <v>0.2</v>
      </c>
      <c r="Z686">
        <f t="shared" si="102"/>
        <v>24621.239999999998</v>
      </c>
      <c r="AA686">
        <f t="shared" si="103"/>
        <v>7465.7599999999984</v>
      </c>
      <c r="AB686" s="7">
        <f t="shared" si="104"/>
        <v>0.3032243705028666</v>
      </c>
      <c r="AC686" t="str">
        <f t="shared" si="105"/>
        <v>July</v>
      </c>
      <c r="AD686">
        <f t="shared" si="106"/>
        <v>2025</v>
      </c>
      <c r="AE686" t="str">
        <f t="shared" si="107"/>
        <v>Clean</v>
      </c>
      <c r="AF686" t="str">
        <f t="shared" si="108"/>
        <v>Match</v>
      </c>
      <c r="AG686" t="str">
        <f t="shared" si="109"/>
        <v>Match</v>
      </c>
    </row>
    <row r="687" spans="1:33">
      <c r="A687" t="s">
        <v>2136</v>
      </c>
      <c r="B687" s="3">
        <v>45931</v>
      </c>
      <c r="C687" s="3">
        <v>45933</v>
      </c>
      <c r="D687">
        <f t="shared" si="100"/>
        <v>2</v>
      </c>
      <c r="E687" t="s">
        <v>1802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2137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>
        <v>1</v>
      </c>
      <c r="X687" t="s">
        <v>2765</v>
      </c>
      <c r="Y687">
        <f t="shared" si="101"/>
        <v>0.55000000000000004</v>
      </c>
      <c r="Z687">
        <f t="shared" si="102"/>
        <v>3313.5074999999993</v>
      </c>
      <c r="AA687">
        <f t="shared" si="103"/>
        <v>-2293.2825000000007</v>
      </c>
      <c r="AB687" s="7">
        <f t="shared" si="104"/>
        <v>-0.69210119488185895</v>
      </c>
      <c r="AC687" t="str">
        <f t="shared" si="105"/>
        <v>October</v>
      </c>
      <c r="AD687">
        <f t="shared" si="106"/>
        <v>2025</v>
      </c>
      <c r="AE687" t="str">
        <f t="shared" si="107"/>
        <v>Clean</v>
      </c>
      <c r="AF687" t="str">
        <f t="shared" si="108"/>
        <v>Mismatch</v>
      </c>
      <c r="AG687" t="str">
        <f t="shared" si="109"/>
        <v>Mismatch</v>
      </c>
    </row>
    <row r="688" spans="1:33">
      <c r="A688" t="s">
        <v>2138</v>
      </c>
      <c r="B688" s="3">
        <v>45376</v>
      </c>
      <c r="C688" s="3">
        <v>45384</v>
      </c>
      <c r="D688">
        <f t="shared" si="100"/>
        <v>8</v>
      </c>
      <c r="E688" t="s">
        <v>2139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2140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>
        <v>1</v>
      </c>
      <c r="X688" t="s">
        <v>2765</v>
      </c>
      <c r="Y688">
        <f t="shared" si="101"/>
        <v>0</v>
      </c>
      <c r="Z688">
        <f t="shared" si="102"/>
        <v>4698.26</v>
      </c>
      <c r="AA688">
        <f t="shared" si="103"/>
        <v>2043.3400000000001</v>
      </c>
      <c r="AB688" s="7">
        <f t="shared" si="104"/>
        <v>0.43491420227914163</v>
      </c>
      <c r="AC688" t="str">
        <f t="shared" si="105"/>
        <v>March</v>
      </c>
      <c r="AD688">
        <f t="shared" si="106"/>
        <v>2024</v>
      </c>
      <c r="AE688" t="str">
        <f t="shared" si="107"/>
        <v>Clean</v>
      </c>
      <c r="AF688" t="str">
        <f t="shared" si="108"/>
        <v>Match</v>
      </c>
      <c r="AG688" t="str">
        <f t="shared" si="109"/>
        <v>Match</v>
      </c>
    </row>
    <row r="689" spans="1:33">
      <c r="A689" t="s">
        <v>2141</v>
      </c>
      <c r="B689" s="3">
        <v>45938</v>
      </c>
      <c r="C689" s="3">
        <v>45943</v>
      </c>
      <c r="D689">
        <f t="shared" si="100"/>
        <v>5</v>
      </c>
      <c r="E689" t="s">
        <v>2142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2143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>
        <v>1</v>
      </c>
      <c r="X689" t="s">
        <v>2765</v>
      </c>
      <c r="Y689">
        <f t="shared" si="101"/>
        <v>0</v>
      </c>
      <c r="Z689">
        <f t="shared" si="102"/>
        <v>688.2</v>
      </c>
      <c r="AA689">
        <f t="shared" si="103"/>
        <v>190.52000000000004</v>
      </c>
      <c r="AB689" s="7">
        <f t="shared" si="104"/>
        <v>0.27683812845103173</v>
      </c>
      <c r="AC689" t="str">
        <f t="shared" si="105"/>
        <v>October</v>
      </c>
      <c r="AD689">
        <f t="shared" si="106"/>
        <v>2025</v>
      </c>
      <c r="AE689" t="str">
        <f t="shared" si="107"/>
        <v>Clean</v>
      </c>
      <c r="AF689" t="str">
        <f t="shared" si="108"/>
        <v>Match</v>
      </c>
      <c r="AG689" t="str">
        <f t="shared" si="109"/>
        <v>Match</v>
      </c>
    </row>
    <row r="690" spans="1:33">
      <c r="A690" t="s">
        <v>2144</v>
      </c>
      <c r="B690" s="3">
        <v>45714</v>
      </c>
      <c r="C690" s="3">
        <v>45715</v>
      </c>
      <c r="D690">
        <f t="shared" si="100"/>
        <v>1</v>
      </c>
      <c r="E690" t="s">
        <v>2145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2146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>
        <v>1</v>
      </c>
      <c r="X690" t="s">
        <v>2765</v>
      </c>
      <c r="Y690">
        <f t="shared" si="101"/>
        <v>0.15</v>
      </c>
      <c r="Z690">
        <f t="shared" si="102"/>
        <v>15492.065999999999</v>
      </c>
      <c r="AA690">
        <f t="shared" si="103"/>
        <v>2910.8359999999993</v>
      </c>
      <c r="AB690" s="7">
        <f t="shared" si="104"/>
        <v>0.18789204745190213</v>
      </c>
      <c r="AC690" t="str">
        <f t="shared" si="105"/>
        <v>February</v>
      </c>
      <c r="AD690">
        <f t="shared" si="106"/>
        <v>2025</v>
      </c>
      <c r="AE690" t="str">
        <f t="shared" si="107"/>
        <v>Clean</v>
      </c>
      <c r="AF690" t="str">
        <f t="shared" si="108"/>
        <v>Match</v>
      </c>
      <c r="AG690" t="str">
        <f t="shared" si="109"/>
        <v>Match</v>
      </c>
    </row>
    <row r="691" spans="1:33">
      <c r="A691" t="s">
        <v>2147</v>
      </c>
      <c r="B691" s="3">
        <v>45570</v>
      </c>
      <c r="C691" s="3">
        <v>45571</v>
      </c>
      <c r="D691">
        <f t="shared" si="100"/>
        <v>1</v>
      </c>
      <c r="E691" t="s">
        <v>2148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2149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>
        <v>1</v>
      </c>
      <c r="X691" t="s">
        <v>2765</v>
      </c>
      <c r="Y691">
        <f t="shared" si="101"/>
        <v>0.15</v>
      </c>
      <c r="Z691">
        <f t="shared" si="102"/>
        <v>3745.2870000000003</v>
      </c>
      <c r="AA691">
        <f t="shared" si="103"/>
        <v>1442.6370000000002</v>
      </c>
      <c r="AB691" s="7">
        <f t="shared" si="104"/>
        <v>0.38518730340291679</v>
      </c>
      <c r="AC691" t="str">
        <f t="shared" si="105"/>
        <v>October</v>
      </c>
      <c r="AD691">
        <f t="shared" si="106"/>
        <v>2024</v>
      </c>
      <c r="AE691" t="str">
        <f t="shared" si="107"/>
        <v>Clean</v>
      </c>
      <c r="AF691" t="str">
        <f t="shared" si="108"/>
        <v>Match</v>
      </c>
      <c r="AG691" t="str">
        <f t="shared" si="109"/>
        <v>Match</v>
      </c>
    </row>
    <row r="692" spans="1:33">
      <c r="A692" t="s">
        <v>2150</v>
      </c>
      <c r="B692" s="3">
        <v>45546</v>
      </c>
      <c r="C692" s="3">
        <v>45550</v>
      </c>
      <c r="D692">
        <f t="shared" si="100"/>
        <v>4</v>
      </c>
      <c r="E692" t="s">
        <v>2151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2152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>
        <v>1</v>
      </c>
      <c r="X692" t="s">
        <v>2765</v>
      </c>
      <c r="Y692">
        <f t="shared" si="101"/>
        <v>0</v>
      </c>
      <c r="Z692">
        <f t="shared" si="102"/>
        <v>3462.52</v>
      </c>
      <c r="AA692">
        <f t="shared" si="103"/>
        <v>665.23</v>
      </c>
      <c r="AB692" s="7">
        <f t="shared" si="104"/>
        <v>0.19212307798944123</v>
      </c>
      <c r="AC692" t="str">
        <f t="shared" si="105"/>
        <v>September</v>
      </c>
      <c r="AD692">
        <f t="shared" si="106"/>
        <v>2024</v>
      </c>
      <c r="AE692" t="str">
        <f t="shared" si="107"/>
        <v>Clean</v>
      </c>
      <c r="AF692" t="str">
        <f t="shared" si="108"/>
        <v>Match</v>
      </c>
      <c r="AG692" t="str">
        <f t="shared" si="109"/>
        <v>Match</v>
      </c>
    </row>
    <row r="693" spans="1:33">
      <c r="A693" t="s">
        <v>2153</v>
      </c>
      <c r="B693" s="3">
        <v>45641</v>
      </c>
      <c r="C693" s="3">
        <v>45642</v>
      </c>
      <c r="D693">
        <f t="shared" si="100"/>
        <v>1</v>
      </c>
      <c r="E693" t="s">
        <v>2154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2155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>
        <v>1</v>
      </c>
      <c r="X693" t="s">
        <v>2765</v>
      </c>
      <c r="Y693">
        <f t="shared" si="101"/>
        <v>0.05</v>
      </c>
      <c r="Z693">
        <f t="shared" si="102"/>
        <v>8767.1699999999983</v>
      </c>
      <c r="AA693">
        <f t="shared" si="103"/>
        <v>3668.9699999999984</v>
      </c>
      <c r="AB693" s="7">
        <f t="shared" si="104"/>
        <v>0.41848966085977563</v>
      </c>
      <c r="AC693" t="str">
        <f t="shared" si="105"/>
        <v>December</v>
      </c>
      <c r="AD693">
        <f t="shared" si="106"/>
        <v>2024</v>
      </c>
      <c r="AE693" t="str">
        <f t="shared" si="107"/>
        <v>Clean</v>
      </c>
      <c r="AF693" t="str">
        <f t="shared" si="108"/>
        <v>Match</v>
      </c>
      <c r="AG693" t="str">
        <f t="shared" si="109"/>
        <v>Match</v>
      </c>
    </row>
    <row r="694" spans="1:33">
      <c r="A694" t="s">
        <v>2156</v>
      </c>
      <c r="B694" s="3">
        <v>45935</v>
      </c>
      <c r="C694" s="3">
        <v>45940</v>
      </c>
      <c r="D694">
        <f t="shared" si="100"/>
        <v>5</v>
      </c>
      <c r="E694" t="s">
        <v>2157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2158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>
        <v>1</v>
      </c>
      <c r="X694" t="s">
        <v>2765</v>
      </c>
      <c r="Y694">
        <f t="shared" si="101"/>
        <v>0.1</v>
      </c>
      <c r="Z694">
        <f t="shared" si="102"/>
        <v>8516.4480000000003</v>
      </c>
      <c r="AA694">
        <f t="shared" si="103"/>
        <v>2612.6379999999999</v>
      </c>
      <c r="AB694" s="7">
        <f t="shared" si="104"/>
        <v>0.30677554774009069</v>
      </c>
      <c r="AC694" t="str">
        <f t="shared" si="105"/>
        <v>October</v>
      </c>
      <c r="AD694">
        <f t="shared" si="106"/>
        <v>2025</v>
      </c>
      <c r="AE694" t="str">
        <f t="shared" si="107"/>
        <v>Clean</v>
      </c>
      <c r="AF694" t="str">
        <f t="shared" si="108"/>
        <v>Match</v>
      </c>
      <c r="AG694" t="str">
        <f t="shared" si="109"/>
        <v>Match</v>
      </c>
    </row>
    <row r="695" spans="1:33">
      <c r="A695" t="s">
        <v>2159</v>
      </c>
      <c r="B695" s="3">
        <v>45750</v>
      </c>
      <c r="C695" s="3">
        <v>45758</v>
      </c>
      <c r="D695">
        <f t="shared" si="100"/>
        <v>8</v>
      </c>
      <c r="E695" t="s">
        <v>2160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2161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>
        <v>1</v>
      </c>
      <c r="X695" t="s">
        <v>2765</v>
      </c>
      <c r="Y695">
        <f t="shared" si="101"/>
        <v>0.05</v>
      </c>
      <c r="Z695">
        <f t="shared" si="102"/>
        <v>11826.844500000001</v>
      </c>
      <c r="AA695">
        <f t="shared" si="103"/>
        <v>3790.884500000001</v>
      </c>
      <c r="AB695" s="7">
        <f t="shared" si="104"/>
        <v>0.32053220112938835</v>
      </c>
      <c r="AC695" t="str">
        <f t="shared" si="105"/>
        <v>April</v>
      </c>
      <c r="AD695">
        <f t="shared" si="106"/>
        <v>2025</v>
      </c>
      <c r="AE695" t="str">
        <f t="shared" si="107"/>
        <v>Clean</v>
      </c>
      <c r="AF695" t="str">
        <f t="shared" si="108"/>
        <v>Match</v>
      </c>
      <c r="AG695" t="str">
        <f t="shared" si="109"/>
        <v>Match</v>
      </c>
    </row>
    <row r="696" spans="1:33">
      <c r="A696" t="s">
        <v>2162</v>
      </c>
      <c r="B696" s="3">
        <v>45870</v>
      </c>
      <c r="C696" s="3">
        <v>45878</v>
      </c>
      <c r="D696">
        <f t="shared" si="100"/>
        <v>8</v>
      </c>
      <c r="E696" t="s">
        <v>1135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2163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>
        <v>1</v>
      </c>
      <c r="X696" t="s">
        <v>2765</v>
      </c>
      <c r="Y696">
        <f t="shared" si="101"/>
        <v>0.15</v>
      </c>
      <c r="Z696">
        <f t="shared" si="102"/>
        <v>11629.019999999999</v>
      </c>
      <c r="AA696">
        <f t="shared" si="103"/>
        <v>2001.8099999999995</v>
      </c>
      <c r="AB696" s="7">
        <f t="shared" si="104"/>
        <v>0.17213918283741877</v>
      </c>
      <c r="AC696" t="str">
        <f t="shared" si="105"/>
        <v>August</v>
      </c>
      <c r="AD696">
        <f t="shared" si="106"/>
        <v>2025</v>
      </c>
      <c r="AE696" t="str">
        <f t="shared" si="107"/>
        <v>Clean</v>
      </c>
      <c r="AF696" t="str">
        <f t="shared" si="108"/>
        <v>Match</v>
      </c>
      <c r="AG696" t="str">
        <f t="shared" si="109"/>
        <v>Match</v>
      </c>
    </row>
    <row r="697" spans="1:33">
      <c r="A697" t="s">
        <v>2164</v>
      </c>
      <c r="B697" s="3">
        <v>45474</v>
      </c>
      <c r="C697" s="3">
        <v>45474</v>
      </c>
      <c r="D697">
        <f t="shared" si="100"/>
        <v>0</v>
      </c>
      <c r="E697" t="s">
        <v>2165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2166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>
        <v>1</v>
      </c>
      <c r="X697" t="s">
        <v>2765</v>
      </c>
      <c r="Y697">
        <f t="shared" si="101"/>
        <v>0</v>
      </c>
      <c r="Z697">
        <f t="shared" si="102"/>
        <v>1029.56</v>
      </c>
      <c r="AA697">
        <f t="shared" si="103"/>
        <v>403.2299999999999</v>
      </c>
      <c r="AB697" s="7">
        <f t="shared" si="104"/>
        <v>0.39165274486188267</v>
      </c>
      <c r="AC697" t="str">
        <f t="shared" si="105"/>
        <v>July</v>
      </c>
      <c r="AD697">
        <f t="shared" si="106"/>
        <v>2024</v>
      </c>
      <c r="AE697" t="str">
        <f t="shared" si="107"/>
        <v>Clean</v>
      </c>
      <c r="AF697" t="str">
        <f t="shared" si="108"/>
        <v>Match</v>
      </c>
      <c r="AG697" t="str">
        <f t="shared" si="109"/>
        <v>Match</v>
      </c>
    </row>
    <row r="698" spans="1:33">
      <c r="A698" t="s">
        <v>2167</v>
      </c>
      <c r="B698" s="3">
        <v>45922</v>
      </c>
      <c r="C698" s="3">
        <v>45925</v>
      </c>
      <c r="D698">
        <f t="shared" si="100"/>
        <v>3</v>
      </c>
      <c r="E698" t="s">
        <v>2168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2169</v>
      </c>
      <c r="N698" t="s">
        <v>2760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>
        <v>1</v>
      </c>
      <c r="X698" t="s">
        <v>2765</v>
      </c>
      <c r="Y698">
        <f t="shared" si="101"/>
        <v>0.25</v>
      </c>
      <c r="Z698">
        <f t="shared" si="102"/>
        <v>3536.5199999999995</v>
      </c>
      <c r="AA698">
        <f t="shared" si="103"/>
        <v>1434.1099999999997</v>
      </c>
      <c r="AB698" s="7">
        <f t="shared" si="104"/>
        <v>0.40551446054313278</v>
      </c>
      <c r="AC698" t="str">
        <f t="shared" si="105"/>
        <v>September</v>
      </c>
      <c r="AD698">
        <f t="shared" si="106"/>
        <v>2025</v>
      </c>
      <c r="AE698" t="str">
        <f t="shared" si="107"/>
        <v>Clean</v>
      </c>
      <c r="AF698" t="str">
        <f t="shared" si="108"/>
        <v>Match</v>
      </c>
      <c r="AG698" t="str">
        <f t="shared" si="109"/>
        <v>Mismatch</v>
      </c>
    </row>
    <row r="699" spans="1:33">
      <c r="A699" t="s">
        <v>2170</v>
      </c>
      <c r="B699" s="3">
        <v>45717</v>
      </c>
      <c r="C699" s="3">
        <v>45723</v>
      </c>
      <c r="D699">
        <f t="shared" si="100"/>
        <v>6</v>
      </c>
      <c r="E699" t="s">
        <v>2171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2172</v>
      </c>
      <c r="N699" t="s">
        <v>50</v>
      </c>
      <c r="O699">
        <v>7</v>
      </c>
      <c r="P699">
        <v>567.15</v>
      </c>
      <c r="Q699"/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>
        <v>1</v>
      </c>
      <c r="X699" t="s">
        <v>2765</v>
      </c>
      <c r="Y699">
        <f t="shared" si="101"/>
        <v>0</v>
      </c>
      <c r="Z699">
        <f t="shared" si="102"/>
        <v>3970.0499999999997</v>
      </c>
      <c r="AA699">
        <f t="shared" si="103"/>
        <v>2120.75</v>
      </c>
      <c r="AB699" s="7">
        <f t="shared" si="104"/>
        <v>0.53418722686112274</v>
      </c>
      <c r="AC699" t="str">
        <f t="shared" si="105"/>
        <v>March</v>
      </c>
      <c r="AD699">
        <f t="shared" si="106"/>
        <v>2025</v>
      </c>
      <c r="AE699" t="str">
        <f t="shared" si="107"/>
        <v>Clean</v>
      </c>
      <c r="AF699" t="str">
        <f t="shared" si="108"/>
        <v>Mismatch</v>
      </c>
      <c r="AG699" t="str">
        <f t="shared" si="109"/>
        <v>Mismatch</v>
      </c>
    </row>
    <row r="700" spans="1:33">
      <c r="A700" t="s">
        <v>2173</v>
      </c>
      <c r="B700" s="3">
        <v>45549</v>
      </c>
      <c r="C700" s="3">
        <v>45549</v>
      </c>
      <c r="D700">
        <f t="shared" si="100"/>
        <v>0</v>
      </c>
      <c r="E700" t="s">
        <v>2174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2175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>
        <v>1</v>
      </c>
      <c r="X700" t="s">
        <v>2765</v>
      </c>
      <c r="Y700">
        <f t="shared" si="101"/>
        <v>0.15</v>
      </c>
      <c r="Z700">
        <f t="shared" si="102"/>
        <v>27755.287999999997</v>
      </c>
      <c r="AA700">
        <f t="shared" si="103"/>
        <v>4003.377999999997</v>
      </c>
      <c r="AB700" s="7">
        <f t="shared" si="104"/>
        <v>0.14423838801456493</v>
      </c>
      <c r="AC700" t="str">
        <f t="shared" si="105"/>
        <v>September</v>
      </c>
      <c r="AD700">
        <f t="shared" si="106"/>
        <v>2024</v>
      </c>
      <c r="AE700" t="str">
        <f t="shared" si="107"/>
        <v>Clean</v>
      </c>
      <c r="AF700" t="str">
        <f t="shared" si="108"/>
        <v>Mismatch</v>
      </c>
      <c r="AG700" t="str">
        <f t="shared" si="109"/>
        <v>Match</v>
      </c>
    </row>
    <row r="701" spans="1:33">
      <c r="A701" t="s">
        <v>2176</v>
      </c>
      <c r="B701" s="3">
        <v>45454</v>
      </c>
      <c r="C701" s="3">
        <v>45454</v>
      </c>
      <c r="D701">
        <f t="shared" si="100"/>
        <v>0</v>
      </c>
      <c r="E701" t="s">
        <v>2177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2178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>
        <v>1</v>
      </c>
      <c r="X701" t="s">
        <v>2765</v>
      </c>
      <c r="Y701">
        <f t="shared" si="101"/>
        <v>0.25</v>
      </c>
      <c r="Z701">
        <f t="shared" si="102"/>
        <v>9450.7425000000003</v>
      </c>
      <c r="AA701">
        <f t="shared" si="103"/>
        <v>1652.1824999999999</v>
      </c>
      <c r="AB701" s="7">
        <f t="shared" si="104"/>
        <v>0.17482039109625511</v>
      </c>
      <c r="AC701" t="str">
        <f t="shared" si="105"/>
        <v>June</v>
      </c>
      <c r="AD701">
        <f t="shared" si="106"/>
        <v>2024</v>
      </c>
      <c r="AE701" t="str">
        <f t="shared" si="107"/>
        <v>Clean</v>
      </c>
      <c r="AF701" t="str">
        <f t="shared" si="108"/>
        <v>Match</v>
      </c>
      <c r="AG701" t="str">
        <f t="shared" si="109"/>
        <v>Match</v>
      </c>
    </row>
    <row r="702" spans="1:33">
      <c r="A702" t="s">
        <v>2179</v>
      </c>
      <c r="B702" s="3">
        <v>45553</v>
      </c>
      <c r="C702" s="3">
        <v>45556</v>
      </c>
      <c r="D702">
        <f t="shared" si="100"/>
        <v>3</v>
      </c>
      <c r="E702" t="s">
        <v>2180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2181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>
        <v>1</v>
      </c>
      <c r="X702" t="s">
        <v>2765</v>
      </c>
      <c r="Y702">
        <f t="shared" si="101"/>
        <v>0.15</v>
      </c>
      <c r="Z702">
        <f t="shared" si="102"/>
        <v>7792.5450000000001</v>
      </c>
      <c r="AA702">
        <f t="shared" si="103"/>
        <v>3100.8150000000005</v>
      </c>
      <c r="AB702" s="7">
        <f t="shared" si="104"/>
        <v>0.39792070498149201</v>
      </c>
      <c r="AC702" t="str">
        <f t="shared" si="105"/>
        <v>September</v>
      </c>
      <c r="AD702">
        <f t="shared" si="106"/>
        <v>2024</v>
      </c>
      <c r="AE702" t="str">
        <f t="shared" si="107"/>
        <v>Clean</v>
      </c>
      <c r="AF702" t="str">
        <f t="shared" si="108"/>
        <v>Match</v>
      </c>
      <c r="AG702" t="str">
        <f t="shared" si="109"/>
        <v>Match</v>
      </c>
    </row>
    <row r="703" spans="1:33">
      <c r="A703" t="s">
        <v>2182</v>
      </c>
      <c r="B703" s="3">
        <v>45412</v>
      </c>
      <c r="C703" s="3">
        <v>45416</v>
      </c>
      <c r="D703">
        <f t="shared" si="100"/>
        <v>4</v>
      </c>
      <c r="E703" t="s">
        <v>2183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2184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>
        <v>1</v>
      </c>
      <c r="X703" t="s">
        <v>2765</v>
      </c>
      <c r="Y703">
        <f t="shared" si="101"/>
        <v>0</v>
      </c>
      <c r="Z703">
        <f t="shared" si="102"/>
        <v>8574.58</v>
      </c>
      <c r="AA703">
        <f t="shared" si="103"/>
        <v>1888.7699999999995</v>
      </c>
      <c r="AB703" s="7">
        <f t="shared" si="104"/>
        <v>0.22027551203674112</v>
      </c>
      <c r="AC703" t="str">
        <f t="shared" si="105"/>
        <v>April</v>
      </c>
      <c r="AD703">
        <f t="shared" si="106"/>
        <v>2024</v>
      </c>
      <c r="AE703" t="str">
        <f t="shared" si="107"/>
        <v>Clean</v>
      </c>
      <c r="AF703" t="str">
        <f t="shared" si="108"/>
        <v>Match</v>
      </c>
      <c r="AG703" t="str">
        <f t="shared" si="109"/>
        <v>Match</v>
      </c>
    </row>
    <row r="704" spans="1:33">
      <c r="A704" t="s">
        <v>2185</v>
      </c>
      <c r="B704" s="3">
        <v>45690</v>
      </c>
      <c r="C704" s="3">
        <v>45694</v>
      </c>
      <c r="D704">
        <f t="shared" si="100"/>
        <v>4</v>
      </c>
      <c r="E704" t="s">
        <v>2186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2187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>
        <v>1</v>
      </c>
      <c r="X704" t="s">
        <v>2765</v>
      </c>
      <c r="Y704">
        <f t="shared" si="101"/>
        <v>0.1</v>
      </c>
      <c r="Z704">
        <f t="shared" si="102"/>
        <v>2692.8180000000002</v>
      </c>
      <c r="AA704">
        <f t="shared" si="103"/>
        <v>872.73800000000028</v>
      </c>
      <c r="AB704" s="7">
        <f t="shared" si="104"/>
        <v>0.32409839803506968</v>
      </c>
      <c r="AC704" t="str">
        <f t="shared" si="105"/>
        <v>February</v>
      </c>
      <c r="AD704">
        <f t="shared" si="106"/>
        <v>2025</v>
      </c>
      <c r="AE704" t="str">
        <f t="shared" si="107"/>
        <v>Clean</v>
      </c>
      <c r="AF704" t="str">
        <f t="shared" si="108"/>
        <v>Match</v>
      </c>
      <c r="AG704" t="str">
        <f t="shared" si="109"/>
        <v>Match</v>
      </c>
    </row>
    <row r="705" spans="1:33">
      <c r="A705" t="s">
        <v>2188</v>
      </c>
      <c r="B705" s="3">
        <v>45584</v>
      </c>
      <c r="C705" s="3">
        <v>45585</v>
      </c>
      <c r="D705">
        <f t="shared" si="100"/>
        <v>1</v>
      </c>
      <c r="E705" t="s">
        <v>2189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2190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>
        <v>1</v>
      </c>
      <c r="X705" t="s">
        <v>2765</v>
      </c>
      <c r="Y705">
        <f t="shared" si="101"/>
        <v>0.1</v>
      </c>
      <c r="Z705">
        <f t="shared" si="102"/>
        <v>1035.027</v>
      </c>
      <c r="AA705">
        <f t="shared" si="103"/>
        <v>180.67700000000002</v>
      </c>
      <c r="AB705" s="7">
        <f t="shared" si="104"/>
        <v>0.1745625959516032</v>
      </c>
      <c r="AC705" t="str">
        <f t="shared" si="105"/>
        <v>October</v>
      </c>
      <c r="AD705">
        <f t="shared" si="106"/>
        <v>2024</v>
      </c>
      <c r="AE705" t="str">
        <f t="shared" si="107"/>
        <v>Clean</v>
      </c>
      <c r="AF705" t="str">
        <f t="shared" si="108"/>
        <v>Match</v>
      </c>
      <c r="AG705" t="str">
        <f t="shared" si="109"/>
        <v>Match</v>
      </c>
    </row>
    <row r="706" spans="1:33">
      <c r="A706" t="s">
        <v>2191</v>
      </c>
      <c r="B706" s="3">
        <v>45364</v>
      </c>
      <c r="C706" s="3">
        <v>45371</v>
      </c>
      <c r="D706">
        <f t="shared" ref="D706:D769" si="110">C706-B706</f>
        <v>7</v>
      </c>
      <c r="E706" t="s">
        <v>2192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2193</v>
      </c>
      <c r="N706" t="s">
        <v>2760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>
        <v>1</v>
      </c>
      <c r="X706" t="s">
        <v>2765</v>
      </c>
      <c r="Y706">
        <f t="shared" si="101"/>
        <v>0.15</v>
      </c>
      <c r="Z706">
        <f t="shared" si="102"/>
        <v>2401.7855</v>
      </c>
      <c r="AA706">
        <f t="shared" si="103"/>
        <v>581.44550000000004</v>
      </c>
      <c r="AB706" s="7">
        <f t="shared" si="104"/>
        <v>0.24208885431276025</v>
      </c>
      <c r="AC706" t="str">
        <f t="shared" si="105"/>
        <v>March</v>
      </c>
      <c r="AD706">
        <f t="shared" si="106"/>
        <v>2024</v>
      </c>
      <c r="AE706" t="str">
        <f t="shared" si="107"/>
        <v>Clean</v>
      </c>
      <c r="AF706" t="str">
        <f t="shared" si="108"/>
        <v>Match</v>
      </c>
      <c r="AG706" t="str">
        <f t="shared" si="109"/>
        <v>Match</v>
      </c>
    </row>
    <row r="707" spans="1:33">
      <c r="A707" t="s">
        <v>2194</v>
      </c>
      <c r="B707" s="3">
        <v>45543</v>
      </c>
      <c r="C707" s="3">
        <v>45549</v>
      </c>
      <c r="D707">
        <f t="shared" si="110"/>
        <v>6</v>
      </c>
      <c r="E707" t="s">
        <v>2195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2196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>
        <v>1</v>
      </c>
      <c r="X707" t="s">
        <v>2765</v>
      </c>
      <c r="Y707">
        <f t="shared" ref="Y707:Y770" si="111">IF(
Q707="",
0,
IF(Q707&gt;1,
Q707/100,
Q707)
)</f>
        <v>0.05</v>
      </c>
      <c r="Z707">
        <f t="shared" ref="Z707:Z770" si="112">O707*P707*(1-Y707)</f>
        <v>16015.8125</v>
      </c>
      <c r="AA707">
        <f t="shared" ref="AA707:AA770" si="113">Z707-S707</f>
        <v>4663.4325000000008</v>
      </c>
      <c r="AB707" s="7">
        <f t="shared" ref="AB707:AB770" si="114">IF(Z707=0,0,
AA707/Z707)</f>
        <v>0.29117676671102394</v>
      </c>
      <c r="AC707" t="str">
        <f t="shared" ref="AC707:AC770" si="115">TEXT(B707,"mmmm")</f>
        <v>September</v>
      </c>
      <c r="AD707">
        <f t="shared" ref="AD707:AD770" si="116">YEAR(B707)</f>
        <v>2024</v>
      </c>
      <c r="AE707" t="str">
        <f t="shared" ref="AE707:AE770" si="117">IF(
OR(
Y707&lt;0,
D707&lt;0
),
"Invalid",
IF(
X707="Review Required",
"Warning",
"Clean"
)
)</f>
        <v>Clean</v>
      </c>
      <c r="AF707" t="str">
        <f t="shared" ref="AF707:AF770" si="118">IF(ABS(R707-Z707)&gt;0.01,
"Mismatch",
"Match")</f>
        <v>Match</v>
      </c>
      <c r="AG707" t="str">
        <f t="shared" ref="AG707:AG770" si="119">IF(ABS(T707-AA707)&gt;0.01,
"Mismatch",
"Match")</f>
        <v>Match</v>
      </c>
    </row>
    <row r="708" spans="1:33">
      <c r="A708" t="s">
        <v>2197</v>
      </c>
      <c r="B708" s="3">
        <v>45467</v>
      </c>
      <c r="C708" s="3">
        <v>45471</v>
      </c>
      <c r="D708">
        <f t="shared" si="110"/>
        <v>4</v>
      </c>
      <c r="E708" t="s">
        <v>2198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2199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>
        <v>1</v>
      </c>
      <c r="X708" t="s">
        <v>2765</v>
      </c>
      <c r="Y708">
        <f t="shared" si="111"/>
        <v>0.1</v>
      </c>
      <c r="Z708">
        <f t="shared" si="112"/>
        <v>1901.4750000000001</v>
      </c>
      <c r="AA708">
        <f t="shared" si="113"/>
        <v>547.19500000000016</v>
      </c>
      <c r="AB708" s="7">
        <f t="shared" si="114"/>
        <v>0.28777396494826391</v>
      </c>
      <c r="AC708" t="str">
        <f t="shared" si="115"/>
        <v>June</v>
      </c>
      <c r="AD708">
        <f t="shared" si="116"/>
        <v>2024</v>
      </c>
      <c r="AE708" t="str">
        <f t="shared" si="117"/>
        <v>Clean</v>
      </c>
      <c r="AF708" t="str">
        <f t="shared" si="118"/>
        <v>Match</v>
      </c>
      <c r="AG708" t="str">
        <f t="shared" si="119"/>
        <v>Match</v>
      </c>
    </row>
    <row r="709" spans="1:33">
      <c r="A709" t="s">
        <v>2200</v>
      </c>
      <c r="B709" s="3">
        <v>45832</v>
      </c>
      <c r="C709" s="3">
        <v>45834</v>
      </c>
      <c r="D709">
        <f t="shared" si="110"/>
        <v>2</v>
      </c>
      <c r="E709" t="s">
        <v>2201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2202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>
        <v>1</v>
      </c>
      <c r="X709" t="s">
        <v>2765</v>
      </c>
      <c r="Y709">
        <f t="shared" si="111"/>
        <v>0.55000000000000004</v>
      </c>
      <c r="Z709">
        <f t="shared" si="112"/>
        <v>8375.9849999999988</v>
      </c>
      <c r="AA709">
        <f t="shared" si="113"/>
        <v>-3302.3350000000009</v>
      </c>
      <c r="AB709" s="7">
        <f t="shared" si="114"/>
        <v>-0.39426228676388525</v>
      </c>
      <c r="AC709" t="str">
        <f t="shared" si="115"/>
        <v>June</v>
      </c>
      <c r="AD709">
        <f t="shared" si="116"/>
        <v>2025</v>
      </c>
      <c r="AE709" t="str">
        <f t="shared" si="117"/>
        <v>Clean</v>
      </c>
      <c r="AF709" t="str">
        <f t="shared" si="118"/>
        <v>Mismatch</v>
      </c>
      <c r="AG709" t="str">
        <f t="shared" si="119"/>
        <v>Mismatch</v>
      </c>
    </row>
    <row r="710" spans="1:33">
      <c r="A710" t="s">
        <v>2203</v>
      </c>
      <c r="B710" s="3">
        <v>45736</v>
      </c>
      <c r="C710" s="3">
        <v>45742</v>
      </c>
      <c r="D710">
        <f t="shared" si="110"/>
        <v>6</v>
      </c>
      <c r="E710" t="s">
        <v>2204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2205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>
        <v>1</v>
      </c>
      <c r="X710" t="s">
        <v>2765</v>
      </c>
      <c r="Y710">
        <f t="shared" si="111"/>
        <v>0.05</v>
      </c>
      <c r="Z710">
        <f t="shared" si="112"/>
        <v>16559.108</v>
      </c>
      <c r="AA710">
        <f t="shared" si="113"/>
        <v>3325.3179999999993</v>
      </c>
      <c r="AB710" s="7">
        <f t="shared" si="114"/>
        <v>0.20081504390212318</v>
      </c>
      <c r="AC710" t="str">
        <f t="shared" si="115"/>
        <v>March</v>
      </c>
      <c r="AD710">
        <f t="shared" si="116"/>
        <v>2025</v>
      </c>
      <c r="AE710" t="str">
        <f t="shared" si="117"/>
        <v>Clean</v>
      </c>
      <c r="AF710" t="str">
        <f t="shared" si="118"/>
        <v>Match</v>
      </c>
      <c r="AG710" t="str">
        <f t="shared" si="119"/>
        <v>Match</v>
      </c>
    </row>
    <row r="711" spans="1:33">
      <c r="A711" t="s">
        <v>2206</v>
      </c>
      <c r="B711" s="3">
        <v>45676</v>
      </c>
      <c r="C711" s="3">
        <v>45680</v>
      </c>
      <c r="D711">
        <f t="shared" si="110"/>
        <v>4</v>
      </c>
      <c r="E711" t="s">
        <v>2207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2208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>
        <v>1</v>
      </c>
      <c r="X711" t="s">
        <v>2765</v>
      </c>
      <c r="Y711">
        <f t="shared" si="111"/>
        <v>0.15</v>
      </c>
      <c r="Z711">
        <f t="shared" si="112"/>
        <v>8110.0879999999988</v>
      </c>
      <c r="AA711">
        <f t="shared" si="113"/>
        <v>1692.7679999999991</v>
      </c>
      <c r="AB711" s="7">
        <f t="shared" si="114"/>
        <v>0.2087237524426368</v>
      </c>
      <c r="AC711" t="str">
        <f t="shared" si="115"/>
        <v>January</v>
      </c>
      <c r="AD711">
        <f t="shared" si="116"/>
        <v>2025</v>
      </c>
      <c r="AE711" t="str">
        <f t="shared" si="117"/>
        <v>Clean</v>
      </c>
      <c r="AF711" t="str">
        <f t="shared" si="118"/>
        <v>Match</v>
      </c>
      <c r="AG711" t="str">
        <f t="shared" si="119"/>
        <v>Match</v>
      </c>
    </row>
    <row r="712" spans="1:33">
      <c r="A712" t="s">
        <v>2209</v>
      </c>
      <c r="B712" s="3">
        <v>45485</v>
      </c>
      <c r="C712" s="3">
        <v>45492</v>
      </c>
      <c r="D712">
        <f t="shared" si="110"/>
        <v>7</v>
      </c>
      <c r="E712" t="s">
        <v>2210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2211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>
        <v>1</v>
      </c>
      <c r="X712" t="s">
        <v>2765</v>
      </c>
      <c r="Y712">
        <f t="shared" si="111"/>
        <v>0.05</v>
      </c>
      <c r="Z712">
        <f t="shared" si="112"/>
        <v>7406.01</v>
      </c>
      <c r="AA712">
        <f t="shared" si="113"/>
        <v>1464.2700000000004</v>
      </c>
      <c r="AB712" s="7">
        <f t="shared" si="114"/>
        <v>0.19771374869869207</v>
      </c>
      <c r="AC712" t="str">
        <f t="shared" si="115"/>
        <v>July</v>
      </c>
      <c r="AD712">
        <f t="shared" si="116"/>
        <v>2024</v>
      </c>
      <c r="AE712" t="str">
        <f t="shared" si="117"/>
        <v>Clean</v>
      </c>
      <c r="AF712" t="str">
        <f t="shared" si="118"/>
        <v>Match</v>
      </c>
      <c r="AG712" t="str">
        <f t="shared" si="119"/>
        <v>Match</v>
      </c>
    </row>
    <row r="713" spans="1:33">
      <c r="A713" t="s">
        <v>2212</v>
      </c>
      <c r="B713" s="3">
        <v>45690</v>
      </c>
      <c r="C713" s="3">
        <v>45690</v>
      </c>
      <c r="D713">
        <f t="shared" si="110"/>
        <v>0</v>
      </c>
      <c r="E713" t="s">
        <v>2213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2214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>
        <v>1</v>
      </c>
      <c r="X713" t="s">
        <v>2765</v>
      </c>
      <c r="Y713">
        <f t="shared" si="111"/>
        <v>0.05</v>
      </c>
      <c r="Z713">
        <f t="shared" si="112"/>
        <v>4110.4124999999995</v>
      </c>
      <c r="AA713">
        <f t="shared" si="113"/>
        <v>1716.2724999999996</v>
      </c>
      <c r="AB713" s="7">
        <f t="shared" si="114"/>
        <v>0.41754264322619683</v>
      </c>
      <c r="AC713" t="str">
        <f t="shared" si="115"/>
        <v>February</v>
      </c>
      <c r="AD713">
        <f t="shared" si="116"/>
        <v>2025</v>
      </c>
      <c r="AE713" t="str">
        <f t="shared" si="117"/>
        <v>Clean</v>
      </c>
      <c r="AF713" t="str">
        <f t="shared" si="118"/>
        <v>Match</v>
      </c>
      <c r="AG713" t="str">
        <f t="shared" si="119"/>
        <v>Match</v>
      </c>
    </row>
    <row r="714" spans="1:33">
      <c r="A714" t="s">
        <v>2215</v>
      </c>
      <c r="B714" s="3">
        <v>45332</v>
      </c>
      <c r="C714" s="3">
        <v>45340</v>
      </c>
      <c r="D714">
        <f t="shared" si="110"/>
        <v>8</v>
      </c>
      <c r="E714" t="s">
        <v>2216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2217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>
        <v>1</v>
      </c>
      <c r="X714" t="s">
        <v>2765</v>
      </c>
      <c r="Y714">
        <f t="shared" si="111"/>
        <v>0</v>
      </c>
      <c r="Z714">
        <f t="shared" si="112"/>
        <v>9680.0199999999986</v>
      </c>
      <c r="AA714">
        <f t="shared" si="113"/>
        <v>2803.3599999999988</v>
      </c>
      <c r="AB714" s="7">
        <f t="shared" si="114"/>
        <v>0.28960270743242256</v>
      </c>
      <c r="AC714" t="str">
        <f t="shared" si="115"/>
        <v>February</v>
      </c>
      <c r="AD714">
        <f t="shared" si="116"/>
        <v>2024</v>
      </c>
      <c r="AE714" t="str">
        <f t="shared" si="117"/>
        <v>Clean</v>
      </c>
      <c r="AF714" t="str">
        <f t="shared" si="118"/>
        <v>Match</v>
      </c>
      <c r="AG714" t="str">
        <f t="shared" si="119"/>
        <v>Match</v>
      </c>
    </row>
    <row r="715" spans="1:33">
      <c r="A715" t="s">
        <v>2218</v>
      </c>
      <c r="B715" s="3">
        <v>45814</v>
      </c>
      <c r="C715" s="3">
        <v>45818</v>
      </c>
      <c r="D715">
        <f t="shared" si="110"/>
        <v>4</v>
      </c>
      <c r="E715" t="s">
        <v>598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2219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>
        <v>1</v>
      </c>
      <c r="X715" t="s">
        <v>2765</v>
      </c>
      <c r="Y715">
        <f t="shared" si="111"/>
        <v>0.25</v>
      </c>
      <c r="Z715">
        <f t="shared" si="112"/>
        <v>217.47750000000002</v>
      </c>
      <c r="AA715">
        <f t="shared" si="113"/>
        <v>85.347500000000025</v>
      </c>
      <c r="AB715" s="7">
        <f t="shared" si="114"/>
        <v>0.39244289639158081</v>
      </c>
      <c r="AC715" t="str">
        <f t="shared" si="115"/>
        <v>June</v>
      </c>
      <c r="AD715">
        <f t="shared" si="116"/>
        <v>2025</v>
      </c>
      <c r="AE715" t="str">
        <f t="shared" si="117"/>
        <v>Clean</v>
      </c>
      <c r="AF715" t="str">
        <f t="shared" si="118"/>
        <v>Match</v>
      </c>
      <c r="AG715" t="str">
        <f t="shared" si="119"/>
        <v>Match</v>
      </c>
    </row>
    <row r="716" spans="1:33">
      <c r="A716" t="s">
        <v>2220</v>
      </c>
      <c r="B716" s="3">
        <v>45738</v>
      </c>
      <c r="C716" s="3">
        <v>45739</v>
      </c>
      <c r="D716">
        <f t="shared" si="110"/>
        <v>1</v>
      </c>
      <c r="E716" t="s">
        <v>2221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2222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>
        <v>1</v>
      </c>
      <c r="X716" t="s">
        <v>2765</v>
      </c>
      <c r="Y716">
        <f t="shared" si="111"/>
        <v>0</v>
      </c>
      <c r="Z716">
        <f t="shared" si="112"/>
        <v>18675.18</v>
      </c>
      <c r="AA716">
        <f t="shared" si="113"/>
        <v>4700.4799999999996</v>
      </c>
      <c r="AB716" s="7">
        <f t="shared" si="114"/>
        <v>0.25169663692665878</v>
      </c>
      <c r="AC716" t="str">
        <f t="shared" si="115"/>
        <v>March</v>
      </c>
      <c r="AD716">
        <f t="shared" si="116"/>
        <v>2025</v>
      </c>
      <c r="AE716" t="str">
        <f t="shared" si="117"/>
        <v>Clean</v>
      </c>
      <c r="AF716" t="str">
        <f t="shared" si="118"/>
        <v>Match</v>
      </c>
      <c r="AG716" t="str">
        <f t="shared" si="119"/>
        <v>Match</v>
      </c>
    </row>
    <row r="717" spans="1:33">
      <c r="A717" t="s">
        <v>2223</v>
      </c>
      <c r="B717" s="3">
        <v>45891</v>
      </c>
      <c r="C717" s="3">
        <v>45896</v>
      </c>
      <c r="D717">
        <f t="shared" si="110"/>
        <v>5</v>
      </c>
      <c r="E717" t="s">
        <v>2224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2225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>
        <v>1</v>
      </c>
      <c r="X717" t="s">
        <v>2765</v>
      </c>
      <c r="Y717">
        <f t="shared" si="111"/>
        <v>0</v>
      </c>
      <c r="Z717">
        <f t="shared" si="112"/>
        <v>19901.63</v>
      </c>
      <c r="AA717">
        <f t="shared" si="113"/>
        <v>4409.6000000000004</v>
      </c>
      <c r="AB717" s="7">
        <f t="shared" si="114"/>
        <v>0.22156979101711771</v>
      </c>
      <c r="AC717" t="str">
        <f t="shared" si="115"/>
        <v>August</v>
      </c>
      <c r="AD717">
        <f t="shared" si="116"/>
        <v>2025</v>
      </c>
      <c r="AE717" t="str">
        <f t="shared" si="117"/>
        <v>Clean</v>
      </c>
      <c r="AF717" t="str">
        <f t="shared" si="118"/>
        <v>Match</v>
      </c>
      <c r="AG717" t="str">
        <f t="shared" si="119"/>
        <v>Match</v>
      </c>
    </row>
    <row r="718" spans="1:33">
      <c r="A718" t="s">
        <v>2226</v>
      </c>
      <c r="B718" s="3">
        <v>45895</v>
      </c>
      <c r="C718" s="3">
        <v>45900</v>
      </c>
      <c r="D718">
        <f t="shared" si="110"/>
        <v>5</v>
      </c>
      <c r="E718" t="s">
        <v>2227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2228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>
        <v>1</v>
      </c>
      <c r="X718" t="s">
        <v>2765</v>
      </c>
      <c r="Y718">
        <f t="shared" si="111"/>
        <v>0.15</v>
      </c>
      <c r="Z718">
        <f t="shared" si="112"/>
        <v>2879.817</v>
      </c>
      <c r="AA718">
        <f t="shared" si="113"/>
        <v>1054.9369999999999</v>
      </c>
      <c r="AB718" s="7">
        <f t="shared" si="114"/>
        <v>0.3663208460815392</v>
      </c>
      <c r="AC718" t="str">
        <f t="shared" si="115"/>
        <v>August</v>
      </c>
      <c r="AD718">
        <f t="shared" si="116"/>
        <v>2025</v>
      </c>
      <c r="AE718" t="str">
        <f t="shared" si="117"/>
        <v>Clean</v>
      </c>
      <c r="AF718" t="str">
        <f t="shared" si="118"/>
        <v>Match</v>
      </c>
      <c r="AG718" t="str">
        <f t="shared" si="119"/>
        <v>Match</v>
      </c>
    </row>
    <row r="719" spans="1:33">
      <c r="A719" t="s">
        <v>2229</v>
      </c>
      <c r="B719" s="3">
        <v>45942</v>
      </c>
      <c r="C719" s="3">
        <v>45945</v>
      </c>
      <c r="D719">
        <f t="shared" si="110"/>
        <v>3</v>
      </c>
      <c r="E719" t="s">
        <v>2230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2231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>
        <v>1</v>
      </c>
      <c r="X719" t="s">
        <v>2765</v>
      </c>
      <c r="Y719">
        <f t="shared" si="111"/>
        <v>0.2</v>
      </c>
      <c r="Z719">
        <f t="shared" si="112"/>
        <v>18712.223999999998</v>
      </c>
      <c r="AA719">
        <f t="shared" si="113"/>
        <v>6860.003999999999</v>
      </c>
      <c r="AB719" s="7">
        <f t="shared" si="114"/>
        <v>0.3666054874075898</v>
      </c>
      <c r="AC719" t="str">
        <f t="shared" si="115"/>
        <v>October</v>
      </c>
      <c r="AD719">
        <f t="shared" si="116"/>
        <v>2025</v>
      </c>
      <c r="AE719" t="str">
        <f t="shared" si="117"/>
        <v>Clean</v>
      </c>
      <c r="AF719" t="str">
        <f t="shared" si="118"/>
        <v>Match</v>
      </c>
      <c r="AG719" t="str">
        <f t="shared" si="119"/>
        <v>Match</v>
      </c>
    </row>
    <row r="720" spans="1:33">
      <c r="A720" t="s">
        <v>2232</v>
      </c>
      <c r="B720" s="3">
        <v>45541</v>
      </c>
      <c r="C720" s="3">
        <v>45544</v>
      </c>
      <c r="D720">
        <f t="shared" si="110"/>
        <v>3</v>
      </c>
      <c r="E720" t="s">
        <v>2233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2234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>
        <v>1</v>
      </c>
      <c r="X720" t="s">
        <v>2765</v>
      </c>
      <c r="Y720">
        <f t="shared" si="111"/>
        <v>0.2</v>
      </c>
      <c r="Z720">
        <f t="shared" si="112"/>
        <v>4733.4479999999994</v>
      </c>
      <c r="AA720">
        <f t="shared" si="113"/>
        <v>1061.1279999999992</v>
      </c>
      <c r="AB720" s="7">
        <f t="shared" si="114"/>
        <v>0.22417654107534282</v>
      </c>
      <c r="AC720" t="str">
        <f t="shared" si="115"/>
        <v>September</v>
      </c>
      <c r="AD720">
        <f t="shared" si="116"/>
        <v>2024</v>
      </c>
      <c r="AE720" t="str">
        <f t="shared" si="117"/>
        <v>Clean</v>
      </c>
      <c r="AF720" t="str">
        <f t="shared" si="118"/>
        <v>Match</v>
      </c>
      <c r="AG720" t="str">
        <f t="shared" si="119"/>
        <v>Match</v>
      </c>
    </row>
    <row r="721" spans="1:33">
      <c r="A721" t="s">
        <v>2235</v>
      </c>
      <c r="B721" s="3">
        <v>45908</v>
      </c>
      <c r="C721" s="3">
        <v>45909</v>
      </c>
      <c r="D721">
        <f t="shared" si="110"/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2236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>
        <v>1</v>
      </c>
      <c r="X721" t="s">
        <v>2765</v>
      </c>
      <c r="Y721">
        <f t="shared" si="111"/>
        <v>0.2</v>
      </c>
      <c r="Z721">
        <f t="shared" si="112"/>
        <v>3795.8559999999998</v>
      </c>
      <c r="AA721">
        <f t="shared" si="113"/>
        <v>1530.9359999999997</v>
      </c>
      <c r="AB721" s="7">
        <f t="shared" si="114"/>
        <v>0.40331772332775528</v>
      </c>
      <c r="AC721" t="str">
        <f t="shared" si="115"/>
        <v>September</v>
      </c>
      <c r="AD721">
        <f t="shared" si="116"/>
        <v>2025</v>
      </c>
      <c r="AE721" t="str">
        <f t="shared" si="117"/>
        <v>Clean</v>
      </c>
      <c r="AF721" t="str">
        <f t="shared" si="118"/>
        <v>Match</v>
      </c>
      <c r="AG721" t="str">
        <f t="shared" si="119"/>
        <v>Match</v>
      </c>
    </row>
    <row r="722" spans="1:33">
      <c r="A722" t="s">
        <v>2237</v>
      </c>
      <c r="B722" s="3">
        <v>45489</v>
      </c>
      <c r="C722" s="3">
        <v>45489</v>
      </c>
      <c r="D722">
        <f t="shared" si="110"/>
        <v>0</v>
      </c>
      <c r="E722" t="s">
        <v>2238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2239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>
        <v>1</v>
      </c>
      <c r="X722" t="s">
        <v>2765</v>
      </c>
      <c r="Y722">
        <f t="shared" si="111"/>
        <v>0.15</v>
      </c>
      <c r="Z722">
        <f t="shared" si="112"/>
        <v>15231.727999999999</v>
      </c>
      <c r="AA722">
        <f t="shared" si="113"/>
        <v>2780.268</v>
      </c>
      <c r="AB722" s="7">
        <f t="shared" si="114"/>
        <v>0.1825313582280356</v>
      </c>
      <c r="AC722" t="str">
        <f t="shared" si="115"/>
        <v>July</v>
      </c>
      <c r="AD722">
        <f t="shared" si="116"/>
        <v>2024</v>
      </c>
      <c r="AE722" t="str">
        <f t="shared" si="117"/>
        <v>Clean</v>
      </c>
      <c r="AF722" t="str">
        <f t="shared" si="118"/>
        <v>Match</v>
      </c>
      <c r="AG722" t="str">
        <f t="shared" si="119"/>
        <v>Match</v>
      </c>
    </row>
    <row r="723" spans="1:33">
      <c r="A723" t="s">
        <v>2240</v>
      </c>
      <c r="B723" s="3">
        <v>45827</v>
      </c>
      <c r="C723" s="3">
        <v>45831</v>
      </c>
      <c r="D723">
        <f t="shared" si="110"/>
        <v>4</v>
      </c>
      <c r="E723" t="s">
        <v>2241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2242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>
        <v>1</v>
      </c>
      <c r="X723" t="s">
        <v>2765</v>
      </c>
      <c r="Y723">
        <f t="shared" si="111"/>
        <v>0</v>
      </c>
      <c r="Z723">
        <f t="shared" si="112"/>
        <v>13649.75</v>
      </c>
      <c r="AA723">
        <f t="shared" si="113"/>
        <v>3361.7199999999993</v>
      </c>
      <c r="AB723" s="7">
        <f t="shared" si="114"/>
        <v>0.24628436418249414</v>
      </c>
      <c r="AC723" t="str">
        <f t="shared" si="115"/>
        <v>June</v>
      </c>
      <c r="AD723">
        <f t="shared" si="116"/>
        <v>2025</v>
      </c>
      <c r="AE723" t="str">
        <f t="shared" si="117"/>
        <v>Clean</v>
      </c>
      <c r="AF723" t="str">
        <f t="shared" si="118"/>
        <v>Match</v>
      </c>
      <c r="AG723" t="str">
        <f t="shared" si="119"/>
        <v>Match</v>
      </c>
    </row>
    <row r="724" spans="1:33">
      <c r="A724" t="s">
        <v>2243</v>
      </c>
      <c r="B724" s="3">
        <v>45572</v>
      </c>
      <c r="C724" s="3">
        <v>45575</v>
      </c>
      <c r="D724">
        <f t="shared" si="110"/>
        <v>3</v>
      </c>
      <c r="E724" t="s">
        <v>2244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2245</v>
      </c>
      <c r="N724" t="s">
        <v>31</v>
      </c>
      <c r="O724">
        <v>9</v>
      </c>
      <c r="P724">
        <v>481.51</v>
      </c>
      <c r="Q724"/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>
        <v>1</v>
      </c>
      <c r="X724" t="s">
        <v>2765</v>
      </c>
      <c r="Y724">
        <f t="shared" si="111"/>
        <v>0</v>
      </c>
      <c r="Z724">
        <f t="shared" si="112"/>
        <v>4333.59</v>
      </c>
      <c r="AA724">
        <f t="shared" si="113"/>
        <v>1800</v>
      </c>
      <c r="AB724" s="7">
        <f t="shared" si="114"/>
        <v>0.41536001329152039</v>
      </c>
      <c r="AC724" t="str">
        <f t="shared" si="115"/>
        <v>October</v>
      </c>
      <c r="AD724">
        <f t="shared" si="116"/>
        <v>2024</v>
      </c>
      <c r="AE724" t="str">
        <f t="shared" si="117"/>
        <v>Clean</v>
      </c>
      <c r="AF724" t="str">
        <f t="shared" si="118"/>
        <v>Match</v>
      </c>
      <c r="AG724" t="str">
        <f t="shared" si="119"/>
        <v>Match</v>
      </c>
    </row>
    <row r="725" spans="1:33">
      <c r="A725" t="s">
        <v>2246</v>
      </c>
      <c r="B725" s="3">
        <v>45936</v>
      </c>
      <c r="C725" s="3">
        <v>45943</v>
      </c>
      <c r="D725">
        <f t="shared" si="110"/>
        <v>7</v>
      </c>
      <c r="E725" t="s">
        <v>2247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2248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>
        <v>1</v>
      </c>
      <c r="X725" t="s">
        <v>2765</v>
      </c>
      <c r="Y725">
        <f t="shared" si="111"/>
        <v>0.05</v>
      </c>
      <c r="Z725">
        <f t="shared" si="112"/>
        <v>13634.000999999998</v>
      </c>
      <c r="AA725">
        <f t="shared" si="113"/>
        <v>4044.1909999999989</v>
      </c>
      <c r="AB725" s="7">
        <f t="shared" si="114"/>
        <v>0.29662539998346776</v>
      </c>
      <c r="AC725" t="str">
        <f t="shared" si="115"/>
        <v>October</v>
      </c>
      <c r="AD725">
        <f t="shared" si="116"/>
        <v>2025</v>
      </c>
      <c r="AE725" t="str">
        <f t="shared" si="117"/>
        <v>Clean</v>
      </c>
      <c r="AF725" t="str">
        <f t="shared" si="118"/>
        <v>Match</v>
      </c>
      <c r="AG725" t="str">
        <f t="shared" si="119"/>
        <v>Match</v>
      </c>
    </row>
    <row r="726" spans="1:33">
      <c r="A726" t="s">
        <v>2249</v>
      </c>
      <c r="B726" s="3">
        <v>45332</v>
      </c>
      <c r="C726" s="3">
        <v>45338</v>
      </c>
      <c r="D726">
        <f t="shared" si="110"/>
        <v>6</v>
      </c>
      <c r="E726" t="s">
        <v>2250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2251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>
        <v>1</v>
      </c>
      <c r="X726" t="s">
        <v>2765</v>
      </c>
      <c r="Y726">
        <f t="shared" si="111"/>
        <v>0</v>
      </c>
      <c r="Z726">
        <f t="shared" si="112"/>
        <v>760.29</v>
      </c>
      <c r="AA726">
        <f t="shared" si="113"/>
        <v>262.52</v>
      </c>
      <c r="AB726" s="7">
        <f t="shared" si="114"/>
        <v>0.34528929750489945</v>
      </c>
      <c r="AC726" t="str">
        <f t="shared" si="115"/>
        <v>February</v>
      </c>
      <c r="AD726">
        <f t="shared" si="116"/>
        <v>2024</v>
      </c>
      <c r="AE726" t="str">
        <f t="shared" si="117"/>
        <v>Clean</v>
      </c>
      <c r="AF726" t="str">
        <f t="shared" si="118"/>
        <v>Match</v>
      </c>
      <c r="AG726" t="str">
        <f t="shared" si="119"/>
        <v>Match</v>
      </c>
    </row>
    <row r="727" spans="1:33">
      <c r="A727" t="s">
        <v>2252</v>
      </c>
      <c r="B727" s="3">
        <v>45935</v>
      </c>
      <c r="C727" s="3">
        <v>45942</v>
      </c>
      <c r="D727">
        <f t="shared" si="110"/>
        <v>7</v>
      </c>
      <c r="E727" t="s">
        <v>2253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2254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>
        <v>1</v>
      </c>
      <c r="X727" t="s">
        <v>2765</v>
      </c>
      <c r="Y727">
        <f t="shared" si="111"/>
        <v>0</v>
      </c>
      <c r="Z727">
        <f t="shared" si="112"/>
        <v>14943.11</v>
      </c>
      <c r="AA727">
        <f t="shared" si="113"/>
        <v>6421.6100000000006</v>
      </c>
      <c r="AB727" s="7">
        <f t="shared" si="114"/>
        <v>0.42973718322357263</v>
      </c>
      <c r="AC727" t="str">
        <f t="shared" si="115"/>
        <v>October</v>
      </c>
      <c r="AD727">
        <f t="shared" si="116"/>
        <v>2025</v>
      </c>
      <c r="AE727" t="str">
        <f t="shared" si="117"/>
        <v>Clean</v>
      </c>
      <c r="AF727" t="str">
        <f t="shared" si="118"/>
        <v>Match</v>
      </c>
      <c r="AG727" t="str">
        <f t="shared" si="119"/>
        <v>Match</v>
      </c>
    </row>
    <row r="728" spans="1:33">
      <c r="A728" t="s">
        <v>2255</v>
      </c>
      <c r="B728" s="3">
        <v>45308</v>
      </c>
      <c r="C728" s="3">
        <v>45314</v>
      </c>
      <c r="D728">
        <f t="shared" si="110"/>
        <v>6</v>
      </c>
      <c r="E728" t="s">
        <v>2256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2257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>
        <v>1</v>
      </c>
      <c r="X728" t="s">
        <v>2765</v>
      </c>
      <c r="Y728">
        <f t="shared" si="111"/>
        <v>0.2</v>
      </c>
      <c r="Z728">
        <f t="shared" si="112"/>
        <v>8072</v>
      </c>
      <c r="AA728">
        <f t="shared" si="113"/>
        <v>2692.7799999999997</v>
      </c>
      <c r="AB728" s="7">
        <f t="shared" si="114"/>
        <v>0.33359514370664023</v>
      </c>
      <c r="AC728" t="str">
        <f t="shared" si="115"/>
        <v>January</v>
      </c>
      <c r="AD728">
        <f t="shared" si="116"/>
        <v>2024</v>
      </c>
      <c r="AE728" t="str">
        <f t="shared" si="117"/>
        <v>Clean</v>
      </c>
      <c r="AF728" t="str">
        <f t="shared" si="118"/>
        <v>Match</v>
      </c>
      <c r="AG728" t="str">
        <f t="shared" si="119"/>
        <v>Match</v>
      </c>
    </row>
    <row r="729" spans="1:33">
      <c r="A729" t="s">
        <v>2258</v>
      </c>
      <c r="B729" s="3">
        <v>45578</v>
      </c>
      <c r="C729" s="3">
        <v>45578</v>
      </c>
      <c r="D729">
        <f t="shared" si="110"/>
        <v>0</v>
      </c>
      <c r="E729" t="s">
        <v>2259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2260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>
        <v>1</v>
      </c>
      <c r="X729" t="s">
        <v>2765</v>
      </c>
      <c r="Y729">
        <f t="shared" si="111"/>
        <v>0.05</v>
      </c>
      <c r="Z729">
        <f t="shared" si="112"/>
        <v>28353.015999999996</v>
      </c>
      <c r="AA729">
        <f t="shared" si="113"/>
        <v>9095.1659999999974</v>
      </c>
      <c r="AB729" s="7">
        <f t="shared" si="114"/>
        <v>0.3207830165228277</v>
      </c>
      <c r="AC729" t="str">
        <f t="shared" si="115"/>
        <v>October</v>
      </c>
      <c r="AD729">
        <f t="shared" si="116"/>
        <v>2024</v>
      </c>
      <c r="AE729" t="str">
        <f t="shared" si="117"/>
        <v>Clean</v>
      </c>
      <c r="AF729" t="str">
        <f t="shared" si="118"/>
        <v>Match</v>
      </c>
      <c r="AG729" t="str">
        <f t="shared" si="119"/>
        <v>Match</v>
      </c>
    </row>
    <row r="730" spans="1:33">
      <c r="A730" t="s">
        <v>2261</v>
      </c>
      <c r="B730" s="3">
        <v>45295</v>
      </c>
      <c r="C730" s="3">
        <v>45298</v>
      </c>
      <c r="D730">
        <f t="shared" si="110"/>
        <v>3</v>
      </c>
      <c r="E730" t="s">
        <v>2262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2263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>
        <v>1</v>
      </c>
      <c r="X730" t="s">
        <v>2765</v>
      </c>
      <c r="Y730">
        <f t="shared" si="111"/>
        <v>0.15</v>
      </c>
      <c r="Z730">
        <f t="shared" si="112"/>
        <v>2008.567</v>
      </c>
      <c r="AA730">
        <f t="shared" si="113"/>
        <v>813.73700000000008</v>
      </c>
      <c r="AB730" s="7">
        <f t="shared" si="114"/>
        <v>0.40513311231340554</v>
      </c>
      <c r="AC730" t="str">
        <f t="shared" si="115"/>
        <v>January</v>
      </c>
      <c r="AD730">
        <f t="shared" si="116"/>
        <v>2024</v>
      </c>
      <c r="AE730" t="str">
        <f t="shared" si="117"/>
        <v>Clean</v>
      </c>
      <c r="AF730" t="str">
        <f t="shared" si="118"/>
        <v>Match</v>
      </c>
      <c r="AG730" t="str">
        <f t="shared" si="119"/>
        <v>Match</v>
      </c>
    </row>
    <row r="731" spans="1:33">
      <c r="A731" t="s">
        <v>2264</v>
      </c>
      <c r="B731" s="3">
        <v>45794</v>
      </c>
      <c r="C731" s="3">
        <v>45802</v>
      </c>
      <c r="D731">
        <f t="shared" si="110"/>
        <v>8</v>
      </c>
      <c r="E731" t="s">
        <v>2265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2266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>
        <v>1</v>
      </c>
      <c r="X731" t="s">
        <v>2765</v>
      </c>
      <c r="Y731">
        <f t="shared" si="111"/>
        <v>0.15</v>
      </c>
      <c r="Z731">
        <f t="shared" si="112"/>
        <v>9234.2129999999997</v>
      </c>
      <c r="AA731">
        <f t="shared" si="113"/>
        <v>3717.6929999999993</v>
      </c>
      <c r="AB731" s="7">
        <f t="shared" si="114"/>
        <v>0.40259987505161504</v>
      </c>
      <c r="AC731" t="str">
        <f t="shared" si="115"/>
        <v>May</v>
      </c>
      <c r="AD731">
        <f t="shared" si="116"/>
        <v>2025</v>
      </c>
      <c r="AE731" t="str">
        <f t="shared" si="117"/>
        <v>Clean</v>
      </c>
      <c r="AF731" t="str">
        <f t="shared" si="118"/>
        <v>Match</v>
      </c>
      <c r="AG731" t="str">
        <f t="shared" si="119"/>
        <v>Match</v>
      </c>
    </row>
    <row r="732" spans="1:33">
      <c r="A732" t="s">
        <v>2267</v>
      </c>
      <c r="B732" s="3">
        <v>45827</v>
      </c>
      <c r="C732" s="3">
        <v>45832</v>
      </c>
      <c r="D732">
        <f t="shared" si="110"/>
        <v>5</v>
      </c>
      <c r="E732" t="s">
        <v>2268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2269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>
        <v>1</v>
      </c>
      <c r="X732" t="s">
        <v>2765</v>
      </c>
      <c r="Y732">
        <f t="shared" si="111"/>
        <v>0.15</v>
      </c>
      <c r="Z732">
        <f t="shared" si="112"/>
        <v>2658.8339999999998</v>
      </c>
      <c r="AA732">
        <f t="shared" si="113"/>
        <v>431.86400000000003</v>
      </c>
      <c r="AB732" s="7">
        <f t="shared" si="114"/>
        <v>0.16242608602116568</v>
      </c>
      <c r="AC732" t="str">
        <f t="shared" si="115"/>
        <v>June</v>
      </c>
      <c r="AD732">
        <f t="shared" si="116"/>
        <v>2025</v>
      </c>
      <c r="AE732" t="str">
        <f t="shared" si="117"/>
        <v>Clean</v>
      </c>
      <c r="AF732" t="str">
        <f t="shared" si="118"/>
        <v>Match</v>
      </c>
      <c r="AG732" t="str">
        <f t="shared" si="119"/>
        <v>Match</v>
      </c>
    </row>
    <row r="733" spans="1:33">
      <c r="A733" t="s">
        <v>2270</v>
      </c>
      <c r="B733" s="3">
        <v>45368</v>
      </c>
      <c r="C733" s="3">
        <v>45370</v>
      </c>
      <c r="D733">
        <f t="shared" si="110"/>
        <v>2</v>
      </c>
      <c r="E733" t="s">
        <v>2271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2272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>
        <v>1</v>
      </c>
      <c r="X733" t="s">
        <v>2765</v>
      </c>
      <c r="Y733">
        <f t="shared" si="111"/>
        <v>0.1</v>
      </c>
      <c r="Z733">
        <f t="shared" si="112"/>
        <v>15756.048000000001</v>
      </c>
      <c r="AA733">
        <f t="shared" si="113"/>
        <v>5510.6080000000002</v>
      </c>
      <c r="AB733" s="7">
        <f t="shared" si="114"/>
        <v>0.3497455707167178</v>
      </c>
      <c r="AC733" t="str">
        <f t="shared" si="115"/>
        <v>March</v>
      </c>
      <c r="AD733">
        <f t="shared" si="116"/>
        <v>2024</v>
      </c>
      <c r="AE733" t="str">
        <f t="shared" si="117"/>
        <v>Clean</v>
      </c>
      <c r="AF733" t="str">
        <f t="shared" si="118"/>
        <v>Match</v>
      </c>
      <c r="AG733" t="str">
        <f t="shared" si="119"/>
        <v>Match</v>
      </c>
    </row>
    <row r="734" spans="1:33">
      <c r="A734" t="s">
        <v>2273</v>
      </c>
      <c r="B734" s="3">
        <v>45624</v>
      </c>
      <c r="C734" s="3">
        <v>45632</v>
      </c>
      <c r="D734">
        <f t="shared" si="110"/>
        <v>8</v>
      </c>
      <c r="E734" t="s">
        <v>2274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2275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>
        <v>1</v>
      </c>
      <c r="X734" t="s">
        <v>2765</v>
      </c>
      <c r="Y734">
        <f t="shared" si="111"/>
        <v>0</v>
      </c>
      <c r="Z734">
        <f t="shared" si="112"/>
        <v>14787.78</v>
      </c>
      <c r="AA734">
        <f t="shared" si="113"/>
        <v>6191.130000000001</v>
      </c>
      <c r="AB734" s="7">
        <f t="shared" si="114"/>
        <v>0.41866527632950995</v>
      </c>
      <c r="AC734" t="str">
        <f t="shared" si="115"/>
        <v>November</v>
      </c>
      <c r="AD734">
        <f t="shared" si="116"/>
        <v>2024</v>
      </c>
      <c r="AE734" t="str">
        <f t="shared" si="117"/>
        <v>Clean</v>
      </c>
      <c r="AF734" t="str">
        <f t="shared" si="118"/>
        <v>Match</v>
      </c>
      <c r="AG734" t="str">
        <f t="shared" si="119"/>
        <v>Match</v>
      </c>
    </row>
    <row r="735" spans="1:33">
      <c r="A735" t="s">
        <v>2276</v>
      </c>
      <c r="B735" s="3">
        <v>45464</v>
      </c>
      <c r="C735" s="3">
        <v>45471</v>
      </c>
      <c r="D735">
        <f t="shared" si="110"/>
        <v>7</v>
      </c>
      <c r="E735" t="s">
        <v>2277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2278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>
        <v>1</v>
      </c>
      <c r="X735" t="s">
        <v>2765</v>
      </c>
      <c r="Y735">
        <f t="shared" si="111"/>
        <v>0</v>
      </c>
      <c r="Z735">
        <f t="shared" si="112"/>
        <v>25181.64</v>
      </c>
      <c r="AA735">
        <f t="shared" si="113"/>
        <v>9843.74</v>
      </c>
      <c r="AB735" s="7">
        <f t="shared" si="114"/>
        <v>0.39090940860086953</v>
      </c>
      <c r="AC735" t="str">
        <f t="shared" si="115"/>
        <v>June</v>
      </c>
      <c r="AD735">
        <f t="shared" si="116"/>
        <v>2024</v>
      </c>
      <c r="AE735" t="str">
        <f t="shared" si="117"/>
        <v>Clean</v>
      </c>
      <c r="AF735" t="str">
        <f t="shared" si="118"/>
        <v>Match</v>
      </c>
      <c r="AG735" t="str">
        <f t="shared" si="119"/>
        <v>Match</v>
      </c>
    </row>
    <row r="736" spans="1:33">
      <c r="A736" t="s">
        <v>2279</v>
      </c>
      <c r="B736" s="3">
        <v>45528</v>
      </c>
      <c r="C736" s="3">
        <v>45528</v>
      </c>
      <c r="D736">
        <f t="shared" si="110"/>
        <v>0</v>
      </c>
      <c r="E736" t="s">
        <v>2280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2281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>
        <v>1</v>
      </c>
      <c r="X736" t="s">
        <v>2765</v>
      </c>
      <c r="Y736">
        <f t="shared" si="111"/>
        <v>0.2</v>
      </c>
      <c r="Z736">
        <f t="shared" si="112"/>
        <v>8837.9520000000011</v>
      </c>
      <c r="AA736">
        <f t="shared" si="113"/>
        <v>2680.6820000000007</v>
      </c>
      <c r="AB736" s="7">
        <f t="shared" si="114"/>
        <v>0.30331484036120587</v>
      </c>
      <c r="AC736" t="str">
        <f t="shared" si="115"/>
        <v>August</v>
      </c>
      <c r="AD736">
        <f t="shared" si="116"/>
        <v>2024</v>
      </c>
      <c r="AE736" t="str">
        <f t="shared" si="117"/>
        <v>Clean</v>
      </c>
      <c r="AF736" t="str">
        <f t="shared" si="118"/>
        <v>Match</v>
      </c>
      <c r="AG736" t="str">
        <f t="shared" si="119"/>
        <v>Match</v>
      </c>
    </row>
    <row r="737" spans="1:33">
      <c r="A737" t="s">
        <v>2282</v>
      </c>
      <c r="B737" s="3">
        <v>45515</v>
      </c>
      <c r="C737" s="3">
        <v>45523</v>
      </c>
      <c r="D737">
        <f t="shared" si="110"/>
        <v>8</v>
      </c>
      <c r="E737" t="s">
        <v>2283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2284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>
        <v>1</v>
      </c>
      <c r="X737" t="s">
        <v>2765</v>
      </c>
      <c r="Y737">
        <f t="shared" si="111"/>
        <v>0.2</v>
      </c>
      <c r="Z737">
        <f t="shared" si="112"/>
        <v>7275.7920000000004</v>
      </c>
      <c r="AA737">
        <f t="shared" si="113"/>
        <v>1122.9220000000005</v>
      </c>
      <c r="AB737" s="7">
        <f t="shared" si="114"/>
        <v>0.15433673749881804</v>
      </c>
      <c r="AC737" t="str">
        <f t="shared" si="115"/>
        <v>August</v>
      </c>
      <c r="AD737">
        <f t="shared" si="116"/>
        <v>2024</v>
      </c>
      <c r="AE737" t="str">
        <f t="shared" si="117"/>
        <v>Clean</v>
      </c>
      <c r="AF737" t="str">
        <f t="shared" si="118"/>
        <v>Match</v>
      </c>
      <c r="AG737" t="str">
        <f t="shared" si="119"/>
        <v>Match</v>
      </c>
    </row>
    <row r="738" spans="1:33">
      <c r="A738" t="s">
        <v>2285</v>
      </c>
      <c r="B738" s="3">
        <v>45632</v>
      </c>
      <c r="C738" s="3">
        <v>45635</v>
      </c>
      <c r="D738">
        <f t="shared" si="110"/>
        <v>3</v>
      </c>
      <c r="E738" t="s">
        <v>2286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2287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>
        <v>1</v>
      </c>
      <c r="X738" t="s">
        <v>2765</v>
      </c>
      <c r="Y738">
        <f t="shared" si="111"/>
        <v>0.1</v>
      </c>
      <c r="Z738">
        <f t="shared" si="112"/>
        <v>2355.0750000000003</v>
      </c>
      <c r="AA738">
        <f t="shared" si="113"/>
        <v>1005.0450000000003</v>
      </c>
      <c r="AB738" s="7">
        <f t="shared" si="114"/>
        <v>0.42675710964618968</v>
      </c>
      <c r="AC738" t="str">
        <f t="shared" si="115"/>
        <v>December</v>
      </c>
      <c r="AD738">
        <f t="shared" si="116"/>
        <v>2024</v>
      </c>
      <c r="AE738" t="str">
        <f t="shared" si="117"/>
        <v>Clean</v>
      </c>
      <c r="AF738" t="str">
        <f t="shared" si="118"/>
        <v>Match</v>
      </c>
      <c r="AG738" t="str">
        <f t="shared" si="119"/>
        <v>Match</v>
      </c>
    </row>
    <row r="739" spans="1:33">
      <c r="A739" t="s">
        <v>2288</v>
      </c>
      <c r="B739" s="3">
        <v>45332</v>
      </c>
      <c r="C739" s="3">
        <v>45332</v>
      </c>
      <c r="D739">
        <f t="shared" si="110"/>
        <v>0</v>
      </c>
      <c r="E739" t="s">
        <v>2289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2290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>
        <v>1</v>
      </c>
      <c r="X739" t="s">
        <v>2765</v>
      </c>
      <c r="Y739">
        <f t="shared" si="111"/>
        <v>0</v>
      </c>
      <c r="Z739">
        <f t="shared" si="112"/>
        <v>3609.12</v>
      </c>
      <c r="AA739">
        <f t="shared" si="113"/>
        <v>963.61999999999989</v>
      </c>
      <c r="AB739" s="7">
        <f t="shared" si="114"/>
        <v>0.2669958327791816</v>
      </c>
      <c r="AC739" t="str">
        <f t="shared" si="115"/>
        <v>February</v>
      </c>
      <c r="AD739">
        <f t="shared" si="116"/>
        <v>2024</v>
      </c>
      <c r="AE739" t="str">
        <f t="shared" si="117"/>
        <v>Clean</v>
      </c>
      <c r="AF739" t="str">
        <f t="shared" si="118"/>
        <v>Match</v>
      </c>
      <c r="AG739" t="str">
        <f t="shared" si="119"/>
        <v>Match</v>
      </c>
    </row>
    <row r="740" spans="1:33">
      <c r="A740" t="s">
        <v>2291</v>
      </c>
      <c r="B740" s="3">
        <v>45708</v>
      </c>
      <c r="C740" s="3">
        <v>45710</v>
      </c>
      <c r="D740">
        <f t="shared" si="110"/>
        <v>2</v>
      </c>
      <c r="E740" t="s">
        <v>2292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2293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>
        <v>1</v>
      </c>
      <c r="X740" t="s">
        <v>2765</v>
      </c>
      <c r="Y740">
        <f t="shared" si="111"/>
        <v>0</v>
      </c>
      <c r="Z740">
        <f t="shared" si="112"/>
        <v>2188.19</v>
      </c>
      <c r="AA740">
        <f t="shared" si="113"/>
        <v>889.35000000000014</v>
      </c>
      <c r="AB740" s="7">
        <f t="shared" si="114"/>
        <v>0.40643179979800664</v>
      </c>
      <c r="AC740" t="str">
        <f t="shared" si="115"/>
        <v>February</v>
      </c>
      <c r="AD740">
        <f t="shared" si="116"/>
        <v>2025</v>
      </c>
      <c r="AE740" t="str">
        <f t="shared" si="117"/>
        <v>Clean</v>
      </c>
      <c r="AF740" t="str">
        <f t="shared" si="118"/>
        <v>Match</v>
      </c>
      <c r="AG740" t="str">
        <f t="shared" si="119"/>
        <v>Match</v>
      </c>
    </row>
    <row r="741" spans="1:33">
      <c r="A741" t="s">
        <v>2294</v>
      </c>
      <c r="B741" s="3">
        <v>45629</v>
      </c>
      <c r="C741" s="3">
        <v>45636</v>
      </c>
      <c r="D741">
        <f t="shared" si="110"/>
        <v>7</v>
      </c>
      <c r="E741" t="s">
        <v>2295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2296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>
        <v>1</v>
      </c>
      <c r="X741" t="s">
        <v>2765</v>
      </c>
      <c r="Y741">
        <f t="shared" si="111"/>
        <v>0.05</v>
      </c>
      <c r="Z741">
        <f t="shared" si="112"/>
        <v>11370.835000000001</v>
      </c>
      <c r="AA741">
        <f t="shared" si="113"/>
        <v>3901.255000000001</v>
      </c>
      <c r="AB741" s="7">
        <f t="shared" si="114"/>
        <v>0.34309309738466881</v>
      </c>
      <c r="AC741" t="str">
        <f t="shared" si="115"/>
        <v>December</v>
      </c>
      <c r="AD741">
        <f t="shared" si="116"/>
        <v>2024</v>
      </c>
      <c r="AE741" t="str">
        <f t="shared" si="117"/>
        <v>Clean</v>
      </c>
      <c r="AF741" t="str">
        <f t="shared" si="118"/>
        <v>Match</v>
      </c>
      <c r="AG741" t="str">
        <f t="shared" si="119"/>
        <v>Match</v>
      </c>
    </row>
    <row r="742" spans="1:33">
      <c r="A742" t="s">
        <v>2297</v>
      </c>
      <c r="B742" s="3">
        <v>45384</v>
      </c>
      <c r="C742" s="3">
        <v>45384</v>
      </c>
      <c r="D742">
        <f t="shared" si="110"/>
        <v>0</v>
      </c>
      <c r="E742" t="s">
        <v>521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2298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>
        <v>1</v>
      </c>
      <c r="X742" t="s">
        <v>2765</v>
      </c>
      <c r="Y742">
        <f t="shared" si="111"/>
        <v>0.1</v>
      </c>
      <c r="Z742">
        <f t="shared" si="112"/>
        <v>9298.8000000000011</v>
      </c>
      <c r="AA742">
        <f t="shared" si="113"/>
        <v>2750.3000000000011</v>
      </c>
      <c r="AB742" s="7">
        <f t="shared" si="114"/>
        <v>0.29576934658235482</v>
      </c>
      <c r="AC742" t="str">
        <f t="shared" si="115"/>
        <v>April</v>
      </c>
      <c r="AD742">
        <f t="shared" si="116"/>
        <v>2024</v>
      </c>
      <c r="AE742" t="str">
        <f t="shared" si="117"/>
        <v>Clean</v>
      </c>
      <c r="AF742" t="str">
        <f t="shared" si="118"/>
        <v>Match</v>
      </c>
      <c r="AG742" t="str">
        <f t="shared" si="119"/>
        <v>Match</v>
      </c>
    </row>
    <row r="743" spans="1:33">
      <c r="A743" t="s">
        <v>2299</v>
      </c>
      <c r="B743" s="3">
        <v>45770</v>
      </c>
      <c r="C743" s="3">
        <v>45772</v>
      </c>
      <c r="D743">
        <f t="shared" si="110"/>
        <v>2</v>
      </c>
      <c r="E743" t="s">
        <v>2300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2301</v>
      </c>
      <c r="N743" t="s">
        <v>31</v>
      </c>
      <c r="O743">
        <v>3</v>
      </c>
      <c r="P743">
        <v>2951.12</v>
      </c>
      <c r="Q743"/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>
        <v>1</v>
      </c>
      <c r="X743" t="s">
        <v>2765</v>
      </c>
      <c r="Y743">
        <f t="shared" si="111"/>
        <v>0</v>
      </c>
      <c r="Z743">
        <f t="shared" si="112"/>
        <v>8853.36</v>
      </c>
      <c r="AA743">
        <f t="shared" si="113"/>
        <v>3257.0200000000004</v>
      </c>
      <c r="AB743" s="7">
        <f t="shared" si="114"/>
        <v>0.36788518709280998</v>
      </c>
      <c r="AC743" t="str">
        <f t="shared" si="115"/>
        <v>April</v>
      </c>
      <c r="AD743">
        <f t="shared" si="116"/>
        <v>2025</v>
      </c>
      <c r="AE743" t="str">
        <f t="shared" si="117"/>
        <v>Clean</v>
      </c>
      <c r="AF743" t="str">
        <f t="shared" si="118"/>
        <v>Mismatch</v>
      </c>
      <c r="AG743" t="str">
        <f t="shared" si="119"/>
        <v>Mismatch</v>
      </c>
    </row>
    <row r="744" spans="1:33">
      <c r="A744" t="s">
        <v>2302</v>
      </c>
      <c r="B744" s="3">
        <v>45580</v>
      </c>
      <c r="C744" s="3">
        <v>45587</v>
      </c>
      <c r="D744">
        <f t="shared" si="110"/>
        <v>7</v>
      </c>
      <c r="E744" t="s">
        <v>2303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2304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>
        <v>1</v>
      </c>
      <c r="X744" t="s">
        <v>2765</v>
      </c>
      <c r="Y744">
        <f t="shared" si="111"/>
        <v>0</v>
      </c>
      <c r="Z744">
        <f t="shared" si="112"/>
        <v>9043.7999999999993</v>
      </c>
      <c r="AA744">
        <f t="shared" si="113"/>
        <v>3130.4199999999992</v>
      </c>
      <c r="AB744" s="7">
        <f t="shared" si="114"/>
        <v>0.34613989694597397</v>
      </c>
      <c r="AC744" t="str">
        <f t="shared" si="115"/>
        <v>October</v>
      </c>
      <c r="AD744">
        <f t="shared" si="116"/>
        <v>2024</v>
      </c>
      <c r="AE744" t="str">
        <f t="shared" si="117"/>
        <v>Clean</v>
      </c>
      <c r="AF744" t="str">
        <f t="shared" si="118"/>
        <v>Match</v>
      </c>
      <c r="AG744" t="str">
        <f t="shared" si="119"/>
        <v>Match</v>
      </c>
    </row>
    <row r="745" spans="1:33">
      <c r="A745" t="s">
        <v>2305</v>
      </c>
      <c r="B745" s="3">
        <v>45700</v>
      </c>
      <c r="C745" s="3">
        <v>45702</v>
      </c>
      <c r="D745">
        <f t="shared" si="110"/>
        <v>2</v>
      </c>
      <c r="E745" t="s">
        <v>2306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2307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>
        <v>1</v>
      </c>
      <c r="X745" t="s">
        <v>2765</v>
      </c>
      <c r="Y745">
        <f t="shared" si="111"/>
        <v>0.25</v>
      </c>
      <c r="Z745">
        <f t="shared" si="112"/>
        <v>2211.2999999999997</v>
      </c>
      <c r="AA745">
        <f t="shared" si="113"/>
        <v>475.65999999999963</v>
      </c>
      <c r="AB745" s="7">
        <f t="shared" si="114"/>
        <v>0.21510423732645942</v>
      </c>
      <c r="AC745" t="str">
        <f t="shared" si="115"/>
        <v>February</v>
      </c>
      <c r="AD745">
        <f t="shared" si="116"/>
        <v>2025</v>
      </c>
      <c r="AE745" t="str">
        <f t="shared" si="117"/>
        <v>Clean</v>
      </c>
      <c r="AF745" t="str">
        <f t="shared" si="118"/>
        <v>Match</v>
      </c>
      <c r="AG745" t="str">
        <f t="shared" si="119"/>
        <v>Match</v>
      </c>
    </row>
    <row r="746" spans="1:33">
      <c r="A746" t="s">
        <v>2308</v>
      </c>
      <c r="B746" s="3">
        <v>45886</v>
      </c>
      <c r="C746" s="3">
        <v>45889</v>
      </c>
      <c r="D746">
        <f t="shared" si="110"/>
        <v>3</v>
      </c>
      <c r="E746" t="s">
        <v>2309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2310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>
        <v>1</v>
      </c>
      <c r="X746" t="s">
        <v>2765</v>
      </c>
      <c r="Y746">
        <f t="shared" si="111"/>
        <v>0.1</v>
      </c>
      <c r="Z746">
        <f t="shared" si="112"/>
        <v>12158.504999999999</v>
      </c>
      <c r="AA746">
        <f t="shared" si="113"/>
        <v>1898.4349999999995</v>
      </c>
      <c r="AB746" s="7">
        <f t="shared" si="114"/>
        <v>0.15614049589155901</v>
      </c>
      <c r="AC746" t="str">
        <f t="shared" si="115"/>
        <v>August</v>
      </c>
      <c r="AD746">
        <f t="shared" si="116"/>
        <v>2025</v>
      </c>
      <c r="AE746" t="str">
        <f t="shared" si="117"/>
        <v>Clean</v>
      </c>
      <c r="AF746" t="str">
        <f t="shared" si="118"/>
        <v>Match</v>
      </c>
      <c r="AG746" t="str">
        <f t="shared" si="119"/>
        <v>Match</v>
      </c>
    </row>
    <row r="747" spans="1:33">
      <c r="A747" t="s">
        <v>2311</v>
      </c>
      <c r="B747" s="3">
        <v>45589</v>
      </c>
      <c r="C747" s="3">
        <v>45593</v>
      </c>
      <c r="D747">
        <f t="shared" si="110"/>
        <v>4</v>
      </c>
      <c r="E747" t="s">
        <v>2312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2313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>
        <v>1</v>
      </c>
      <c r="X747" t="s">
        <v>2765</v>
      </c>
      <c r="Y747">
        <f t="shared" si="111"/>
        <v>0.2</v>
      </c>
      <c r="Z747">
        <f t="shared" si="112"/>
        <v>1736.616</v>
      </c>
      <c r="AA747">
        <f t="shared" si="113"/>
        <v>677.096</v>
      </c>
      <c r="AB747" s="7">
        <f t="shared" si="114"/>
        <v>0.38989390861307277</v>
      </c>
      <c r="AC747" t="str">
        <f t="shared" si="115"/>
        <v>October</v>
      </c>
      <c r="AD747">
        <f t="shared" si="116"/>
        <v>2024</v>
      </c>
      <c r="AE747" t="str">
        <f t="shared" si="117"/>
        <v>Clean</v>
      </c>
      <c r="AF747" t="str">
        <f t="shared" si="118"/>
        <v>Match</v>
      </c>
      <c r="AG747" t="str">
        <f t="shared" si="119"/>
        <v>Match</v>
      </c>
    </row>
    <row r="748" spans="1:33">
      <c r="A748" t="s">
        <v>2314</v>
      </c>
      <c r="B748" s="3">
        <v>45661</v>
      </c>
      <c r="C748" s="3">
        <v>45667</v>
      </c>
      <c r="D748">
        <f t="shared" si="110"/>
        <v>6</v>
      </c>
      <c r="E748" t="s">
        <v>2023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2315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>
        <v>1</v>
      </c>
      <c r="X748" t="s">
        <v>2765</v>
      </c>
      <c r="Y748">
        <f t="shared" si="111"/>
        <v>0.2</v>
      </c>
      <c r="Z748">
        <f t="shared" si="112"/>
        <v>8266.2080000000005</v>
      </c>
      <c r="AA748">
        <f t="shared" si="113"/>
        <v>2029.8880000000008</v>
      </c>
      <c r="AB748" s="7">
        <f t="shared" si="114"/>
        <v>0.24556459261610653</v>
      </c>
      <c r="AC748" t="str">
        <f t="shared" si="115"/>
        <v>January</v>
      </c>
      <c r="AD748">
        <f t="shared" si="116"/>
        <v>2025</v>
      </c>
      <c r="AE748" t="str">
        <f t="shared" si="117"/>
        <v>Clean</v>
      </c>
      <c r="AF748" t="str">
        <f t="shared" si="118"/>
        <v>Match</v>
      </c>
      <c r="AG748" t="str">
        <f t="shared" si="119"/>
        <v>Match</v>
      </c>
    </row>
    <row r="749" spans="1:33">
      <c r="A749" t="s">
        <v>2316</v>
      </c>
      <c r="B749" s="3">
        <v>45413</v>
      </c>
      <c r="C749" s="3">
        <v>45419</v>
      </c>
      <c r="D749">
        <f t="shared" si="110"/>
        <v>6</v>
      </c>
      <c r="E749" t="s">
        <v>2317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2318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>
        <v>1</v>
      </c>
      <c r="X749" t="s">
        <v>2765</v>
      </c>
      <c r="Y749">
        <f t="shared" si="111"/>
        <v>0.15</v>
      </c>
      <c r="Z749">
        <f t="shared" si="112"/>
        <v>10022.044</v>
      </c>
      <c r="AA749">
        <f t="shared" si="113"/>
        <v>4445.0640000000003</v>
      </c>
      <c r="AB749" s="7">
        <f t="shared" si="114"/>
        <v>0.44352868536597928</v>
      </c>
      <c r="AC749" t="str">
        <f t="shared" si="115"/>
        <v>May</v>
      </c>
      <c r="AD749">
        <f t="shared" si="116"/>
        <v>2024</v>
      </c>
      <c r="AE749" t="str">
        <f t="shared" si="117"/>
        <v>Clean</v>
      </c>
      <c r="AF749" t="str">
        <f t="shared" si="118"/>
        <v>Match</v>
      </c>
      <c r="AG749" t="str">
        <f t="shared" si="119"/>
        <v>Match</v>
      </c>
    </row>
    <row r="750" spans="1:33">
      <c r="A750" t="s">
        <v>2319</v>
      </c>
      <c r="B750" s="3">
        <v>45442</v>
      </c>
      <c r="C750" s="3">
        <v>45442</v>
      </c>
      <c r="D750">
        <f t="shared" si="110"/>
        <v>0</v>
      </c>
      <c r="E750" t="s">
        <v>2320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2321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>
        <v>1</v>
      </c>
      <c r="X750" t="s">
        <v>2765</v>
      </c>
      <c r="Y750">
        <f t="shared" si="111"/>
        <v>0.25</v>
      </c>
      <c r="Z750">
        <f t="shared" si="112"/>
        <v>2886.0299999999997</v>
      </c>
      <c r="AA750">
        <f t="shared" si="113"/>
        <v>821.19999999999982</v>
      </c>
      <c r="AB750" s="7">
        <f t="shared" si="114"/>
        <v>0.28454312671732446</v>
      </c>
      <c r="AC750" t="str">
        <f t="shared" si="115"/>
        <v>May</v>
      </c>
      <c r="AD750">
        <f t="shared" si="116"/>
        <v>2024</v>
      </c>
      <c r="AE750" t="str">
        <f t="shared" si="117"/>
        <v>Clean</v>
      </c>
      <c r="AF750" t="str">
        <f t="shared" si="118"/>
        <v>Match</v>
      </c>
      <c r="AG750" t="str">
        <f t="shared" si="119"/>
        <v>Match</v>
      </c>
    </row>
    <row r="751" spans="1:33">
      <c r="A751" t="s">
        <v>2322</v>
      </c>
      <c r="B751" s="3">
        <v>45372</v>
      </c>
      <c r="C751" s="3">
        <v>45376</v>
      </c>
      <c r="D751">
        <f t="shared" si="110"/>
        <v>4</v>
      </c>
      <c r="E751" t="s">
        <v>2323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2324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>
        <v>1</v>
      </c>
      <c r="X751" t="s">
        <v>2765</v>
      </c>
      <c r="Y751">
        <f t="shared" si="111"/>
        <v>0.15</v>
      </c>
      <c r="Z751">
        <f t="shared" si="112"/>
        <v>1459.1949999999999</v>
      </c>
      <c r="AA751">
        <f t="shared" si="113"/>
        <v>403.40499999999997</v>
      </c>
      <c r="AB751" s="7">
        <f t="shared" si="114"/>
        <v>0.27645722470266137</v>
      </c>
      <c r="AC751" t="str">
        <f t="shared" si="115"/>
        <v>March</v>
      </c>
      <c r="AD751">
        <f t="shared" si="116"/>
        <v>2024</v>
      </c>
      <c r="AE751" t="str">
        <f t="shared" si="117"/>
        <v>Clean</v>
      </c>
      <c r="AF751" t="str">
        <f t="shared" si="118"/>
        <v>Match</v>
      </c>
      <c r="AG751" t="str">
        <f t="shared" si="119"/>
        <v>Match</v>
      </c>
    </row>
    <row r="752" spans="1:33">
      <c r="A752" t="s">
        <v>2325</v>
      </c>
      <c r="B752" s="3">
        <v>45810</v>
      </c>
      <c r="C752" s="3">
        <v>45810</v>
      </c>
      <c r="D752">
        <f t="shared" si="110"/>
        <v>0</v>
      </c>
      <c r="E752" t="s">
        <v>2326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2327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>
        <v>1</v>
      </c>
      <c r="X752" t="s">
        <v>2765</v>
      </c>
      <c r="Y752">
        <f t="shared" si="111"/>
        <v>0.15</v>
      </c>
      <c r="Z752">
        <f t="shared" si="112"/>
        <v>26696.323999999997</v>
      </c>
      <c r="AA752">
        <f t="shared" si="113"/>
        <v>3971.8039999999964</v>
      </c>
      <c r="AB752" s="7">
        <f t="shared" si="114"/>
        <v>0.14877718745097629</v>
      </c>
      <c r="AC752" t="str">
        <f t="shared" si="115"/>
        <v>June</v>
      </c>
      <c r="AD752">
        <f t="shared" si="116"/>
        <v>2025</v>
      </c>
      <c r="AE752" t="str">
        <f t="shared" si="117"/>
        <v>Clean</v>
      </c>
      <c r="AF752" t="str">
        <f t="shared" si="118"/>
        <v>Match</v>
      </c>
      <c r="AG752" t="str">
        <f t="shared" si="119"/>
        <v>Match</v>
      </c>
    </row>
    <row r="753" spans="1:33">
      <c r="A753" t="s">
        <v>2328</v>
      </c>
      <c r="B753" s="3">
        <v>45856</v>
      </c>
      <c r="C753" s="3">
        <v>45857</v>
      </c>
      <c r="D753">
        <f t="shared" si="110"/>
        <v>1</v>
      </c>
      <c r="E753" t="s">
        <v>2329</v>
      </c>
      <c r="F753" t="s">
        <v>114</v>
      </c>
      <c r="G753" t="s">
        <v>95</v>
      </c>
      <c r="H753" t="s">
        <v>2760</v>
      </c>
      <c r="I753" t="s">
        <v>136</v>
      </c>
      <c r="J753" t="s">
        <v>137</v>
      </c>
      <c r="K753" t="s">
        <v>74</v>
      </c>
      <c r="L753" t="s">
        <v>274</v>
      </c>
      <c r="M753" t="s">
        <v>2330</v>
      </c>
      <c r="N753" t="s">
        <v>2760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>
        <v>1</v>
      </c>
      <c r="X753" t="s">
        <v>2765</v>
      </c>
      <c r="Y753">
        <f t="shared" si="111"/>
        <v>0.05</v>
      </c>
      <c r="Z753">
        <f t="shared" si="112"/>
        <v>8445.2624999999989</v>
      </c>
      <c r="AA753">
        <f t="shared" si="113"/>
        <v>1507.6624999999985</v>
      </c>
      <c r="AB753" s="7">
        <f t="shared" si="114"/>
        <v>0.17852168597482893</v>
      </c>
      <c r="AC753" t="str">
        <f t="shared" si="115"/>
        <v>July</v>
      </c>
      <c r="AD753">
        <f t="shared" si="116"/>
        <v>2025</v>
      </c>
      <c r="AE753" t="str">
        <f t="shared" si="117"/>
        <v>Clean</v>
      </c>
      <c r="AF753" t="str">
        <f t="shared" si="118"/>
        <v>Match</v>
      </c>
      <c r="AG753" t="str">
        <f t="shared" si="119"/>
        <v>Match</v>
      </c>
    </row>
    <row r="754" spans="1:33">
      <c r="A754" t="s">
        <v>2331</v>
      </c>
      <c r="B754" s="3">
        <v>45375</v>
      </c>
      <c r="C754" s="3">
        <v>45378</v>
      </c>
      <c r="D754">
        <f t="shared" si="110"/>
        <v>3</v>
      </c>
      <c r="E754" t="s">
        <v>2332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2333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>
        <v>1</v>
      </c>
      <c r="X754" t="s">
        <v>2765</v>
      </c>
      <c r="Y754">
        <f t="shared" si="111"/>
        <v>0.05</v>
      </c>
      <c r="Z754">
        <f t="shared" si="112"/>
        <v>11709.794999999998</v>
      </c>
      <c r="AA754">
        <f t="shared" si="113"/>
        <v>3337.5049999999974</v>
      </c>
      <c r="AB754" s="7">
        <f t="shared" si="114"/>
        <v>0.28501822619439521</v>
      </c>
      <c r="AC754" t="str">
        <f t="shared" si="115"/>
        <v>March</v>
      </c>
      <c r="AD754">
        <f t="shared" si="116"/>
        <v>2024</v>
      </c>
      <c r="AE754" t="str">
        <f t="shared" si="117"/>
        <v>Clean</v>
      </c>
      <c r="AF754" t="str">
        <f t="shared" si="118"/>
        <v>Match</v>
      </c>
      <c r="AG754" t="str">
        <f t="shared" si="119"/>
        <v>Match</v>
      </c>
    </row>
    <row r="755" spans="1:33">
      <c r="A755" t="s">
        <v>2334</v>
      </c>
      <c r="B755" s="3">
        <v>45515</v>
      </c>
      <c r="C755" s="3">
        <v>45514</v>
      </c>
      <c r="D755">
        <f t="shared" si="110"/>
        <v>-1</v>
      </c>
      <c r="E755" t="s">
        <v>2335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2336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>
        <v>1</v>
      </c>
      <c r="X755" t="s">
        <v>2765</v>
      </c>
      <c r="Y755">
        <f t="shared" si="111"/>
        <v>0.15</v>
      </c>
      <c r="Z755">
        <f t="shared" si="112"/>
        <v>2593.9109999999996</v>
      </c>
      <c r="AA755">
        <f t="shared" si="113"/>
        <v>745.43099999999959</v>
      </c>
      <c r="AB755" s="7">
        <f t="shared" si="114"/>
        <v>0.28737724617382776</v>
      </c>
      <c r="AC755" t="str">
        <f t="shared" si="115"/>
        <v>August</v>
      </c>
      <c r="AD755">
        <f t="shared" si="116"/>
        <v>2024</v>
      </c>
      <c r="AE755" t="str">
        <f t="shared" si="117"/>
        <v>Invalid</v>
      </c>
      <c r="AF755" t="str">
        <f t="shared" si="118"/>
        <v>Match</v>
      </c>
      <c r="AG755" t="str">
        <f t="shared" si="119"/>
        <v>Match</v>
      </c>
    </row>
    <row r="756" spans="1:33">
      <c r="A756" t="s">
        <v>2337</v>
      </c>
      <c r="B756" s="3">
        <v>45812</v>
      </c>
      <c r="C756" s="3">
        <v>45812</v>
      </c>
      <c r="D756">
        <f t="shared" si="110"/>
        <v>0</v>
      </c>
      <c r="E756" t="s">
        <v>2338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2339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>
        <v>1</v>
      </c>
      <c r="X756" t="s">
        <v>2765</v>
      </c>
      <c r="Y756">
        <f t="shared" si="111"/>
        <v>0.25</v>
      </c>
      <c r="Z756">
        <f t="shared" si="112"/>
        <v>2674.02</v>
      </c>
      <c r="AA756">
        <f t="shared" si="113"/>
        <v>466.44999999999982</v>
      </c>
      <c r="AB756" s="7">
        <f t="shared" si="114"/>
        <v>0.17443773793763689</v>
      </c>
      <c r="AC756" t="str">
        <f t="shared" si="115"/>
        <v>June</v>
      </c>
      <c r="AD756">
        <f t="shared" si="116"/>
        <v>2025</v>
      </c>
      <c r="AE756" t="str">
        <f t="shared" si="117"/>
        <v>Clean</v>
      </c>
      <c r="AF756" t="str">
        <f t="shared" si="118"/>
        <v>Match</v>
      </c>
      <c r="AG756" t="str">
        <f t="shared" si="119"/>
        <v>Match</v>
      </c>
    </row>
    <row r="757" spans="1:33">
      <c r="A757" t="s">
        <v>2340</v>
      </c>
      <c r="B757" s="3">
        <v>45858</v>
      </c>
      <c r="C757" s="3">
        <v>45862</v>
      </c>
      <c r="D757">
        <f t="shared" si="110"/>
        <v>4</v>
      </c>
      <c r="E757" t="s">
        <v>2341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2342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>
        <v>1</v>
      </c>
      <c r="X757" t="s">
        <v>2765</v>
      </c>
      <c r="Y757">
        <f t="shared" si="111"/>
        <v>0.2</v>
      </c>
      <c r="Z757">
        <f t="shared" si="112"/>
        <v>9926.9599999999991</v>
      </c>
      <c r="AA757">
        <f t="shared" si="113"/>
        <v>1931.9799999999996</v>
      </c>
      <c r="AB757" s="7">
        <f t="shared" si="114"/>
        <v>0.19461950083409219</v>
      </c>
      <c r="AC757" t="str">
        <f t="shared" si="115"/>
        <v>July</v>
      </c>
      <c r="AD757">
        <f t="shared" si="116"/>
        <v>2025</v>
      </c>
      <c r="AE757" t="str">
        <f t="shared" si="117"/>
        <v>Clean</v>
      </c>
      <c r="AF757" t="str">
        <f t="shared" si="118"/>
        <v>Match</v>
      </c>
      <c r="AG757" t="str">
        <f t="shared" si="119"/>
        <v>Match</v>
      </c>
    </row>
    <row r="758" spans="1:33">
      <c r="A758" t="s">
        <v>2343</v>
      </c>
      <c r="B758" s="3">
        <v>45592</v>
      </c>
      <c r="C758" s="3">
        <v>45597</v>
      </c>
      <c r="D758">
        <f t="shared" si="110"/>
        <v>5</v>
      </c>
      <c r="E758" t="s">
        <v>2344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2345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>
        <v>1</v>
      </c>
      <c r="X758" t="s">
        <v>2765</v>
      </c>
      <c r="Y758">
        <f t="shared" si="111"/>
        <v>0.2</v>
      </c>
      <c r="Z758">
        <f t="shared" si="112"/>
        <v>12191.76</v>
      </c>
      <c r="AA758">
        <f t="shared" si="113"/>
        <v>1734.2700000000004</v>
      </c>
      <c r="AB758" s="7">
        <f t="shared" si="114"/>
        <v>0.14224935530226976</v>
      </c>
      <c r="AC758" t="str">
        <f t="shared" si="115"/>
        <v>October</v>
      </c>
      <c r="AD758">
        <f t="shared" si="116"/>
        <v>2024</v>
      </c>
      <c r="AE758" t="str">
        <f t="shared" si="117"/>
        <v>Clean</v>
      </c>
      <c r="AF758" t="str">
        <f t="shared" si="118"/>
        <v>Match</v>
      </c>
      <c r="AG758" t="str">
        <f t="shared" si="119"/>
        <v>Match</v>
      </c>
    </row>
    <row r="759" spans="1:33">
      <c r="A759" t="s">
        <v>2346</v>
      </c>
      <c r="B759" s="3">
        <v>45870</v>
      </c>
      <c r="C759" s="3">
        <v>45872</v>
      </c>
      <c r="D759">
        <f t="shared" si="110"/>
        <v>2</v>
      </c>
      <c r="E759" t="s">
        <v>2347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2348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>
        <v>1</v>
      </c>
      <c r="X759" t="s">
        <v>2765</v>
      </c>
      <c r="Y759">
        <f t="shared" si="111"/>
        <v>0.25</v>
      </c>
      <c r="Z759">
        <f t="shared" si="112"/>
        <v>4285.7550000000001</v>
      </c>
      <c r="AA759">
        <f t="shared" si="113"/>
        <v>1899.4250000000002</v>
      </c>
      <c r="AB759" s="7">
        <f t="shared" si="114"/>
        <v>0.44319495631458172</v>
      </c>
      <c r="AC759" t="str">
        <f t="shared" si="115"/>
        <v>August</v>
      </c>
      <c r="AD759">
        <f t="shared" si="116"/>
        <v>2025</v>
      </c>
      <c r="AE759" t="str">
        <f t="shared" si="117"/>
        <v>Clean</v>
      </c>
      <c r="AF759" t="str">
        <f t="shared" si="118"/>
        <v>Match</v>
      </c>
      <c r="AG759" t="str">
        <f t="shared" si="119"/>
        <v>Match</v>
      </c>
    </row>
    <row r="760" spans="1:33">
      <c r="A760" t="s">
        <v>2349</v>
      </c>
      <c r="B760" s="3">
        <v>45414</v>
      </c>
      <c r="C760" s="3">
        <v>45422</v>
      </c>
      <c r="D760">
        <f t="shared" si="110"/>
        <v>8</v>
      </c>
      <c r="E760" t="s">
        <v>2350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2351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>
        <v>1</v>
      </c>
      <c r="X760" t="s">
        <v>2765</v>
      </c>
      <c r="Y760">
        <f t="shared" si="111"/>
        <v>0</v>
      </c>
      <c r="Z760">
        <f t="shared" si="112"/>
        <v>4166.91</v>
      </c>
      <c r="AA760">
        <f t="shared" si="113"/>
        <v>754.27999999999975</v>
      </c>
      <c r="AB760" s="7">
        <f t="shared" si="114"/>
        <v>0.18101662862888801</v>
      </c>
      <c r="AC760" t="str">
        <f t="shared" si="115"/>
        <v>May</v>
      </c>
      <c r="AD760">
        <f t="shared" si="116"/>
        <v>2024</v>
      </c>
      <c r="AE760" t="str">
        <f t="shared" si="117"/>
        <v>Clean</v>
      </c>
      <c r="AF760" t="str">
        <f t="shared" si="118"/>
        <v>Match</v>
      </c>
      <c r="AG760" t="str">
        <f t="shared" si="119"/>
        <v>Match</v>
      </c>
    </row>
    <row r="761" spans="1:33">
      <c r="A761" t="s">
        <v>2352</v>
      </c>
      <c r="B761" s="3">
        <v>45492</v>
      </c>
      <c r="C761" s="3">
        <v>45499</v>
      </c>
      <c r="D761">
        <f t="shared" si="110"/>
        <v>7</v>
      </c>
      <c r="E761" t="s">
        <v>2353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2354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>
        <v>1</v>
      </c>
      <c r="X761" t="s">
        <v>2765</v>
      </c>
      <c r="Y761">
        <f t="shared" si="111"/>
        <v>0.25</v>
      </c>
      <c r="Z761">
        <f t="shared" si="112"/>
        <v>14947.537500000002</v>
      </c>
      <c r="AA761">
        <f t="shared" si="113"/>
        <v>5509.0775000000031</v>
      </c>
      <c r="AB761" s="7">
        <f t="shared" si="114"/>
        <v>0.36856087499362367</v>
      </c>
      <c r="AC761" t="str">
        <f t="shared" si="115"/>
        <v>July</v>
      </c>
      <c r="AD761">
        <f t="shared" si="116"/>
        <v>2024</v>
      </c>
      <c r="AE761" t="str">
        <f t="shared" si="117"/>
        <v>Clean</v>
      </c>
      <c r="AF761" t="str">
        <f t="shared" si="118"/>
        <v>Match</v>
      </c>
      <c r="AG761" t="str">
        <f t="shared" si="119"/>
        <v>Match</v>
      </c>
    </row>
    <row r="762" spans="1:33">
      <c r="A762" t="s">
        <v>2355</v>
      </c>
      <c r="B762" s="3">
        <v>45532</v>
      </c>
      <c r="C762" s="3">
        <v>45537</v>
      </c>
      <c r="D762">
        <f t="shared" si="110"/>
        <v>5</v>
      </c>
      <c r="E762" t="s">
        <v>2356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2357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>
        <v>1</v>
      </c>
      <c r="X762" t="s">
        <v>2765</v>
      </c>
      <c r="Y762">
        <f t="shared" si="111"/>
        <v>0</v>
      </c>
      <c r="Z762">
        <f t="shared" si="112"/>
        <v>13462.12</v>
      </c>
      <c r="AA762">
        <f t="shared" si="113"/>
        <v>5861.4900000000007</v>
      </c>
      <c r="AB762" s="7">
        <f t="shared" si="114"/>
        <v>0.43540616188237813</v>
      </c>
      <c r="AC762" t="str">
        <f t="shared" si="115"/>
        <v>August</v>
      </c>
      <c r="AD762">
        <f t="shared" si="116"/>
        <v>2024</v>
      </c>
      <c r="AE762" t="str">
        <f t="shared" si="117"/>
        <v>Clean</v>
      </c>
      <c r="AF762" t="str">
        <f t="shared" si="118"/>
        <v>Match</v>
      </c>
      <c r="AG762" t="str">
        <f t="shared" si="119"/>
        <v>Match</v>
      </c>
    </row>
    <row r="763" spans="1:33">
      <c r="A763" t="s">
        <v>2358</v>
      </c>
      <c r="B763" s="3">
        <v>45896</v>
      </c>
      <c r="C763" s="3">
        <v>45900</v>
      </c>
      <c r="D763">
        <f t="shared" si="110"/>
        <v>4</v>
      </c>
      <c r="E763" t="s">
        <v>2359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2360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>
        <v>1</v>
      </c>
      <c r="X763" t="s">
        <v>2765</v>
      </c>
      <c r="Y763">
        <f t="shared" si="111"/>
        <v>0</v>
      </c>
      <c r="Z763">
        <f t="shared" si="112"/>
        <v>7467.36</v>
      </c>
      <c r="AA763">
        <f t="shared" si="113"/>
        <v>2456.75</v>
      </c>
      <c r="AB763" s="7">
        <f t="shared" si="114"/>
        <v>0.32899846799940008</v>
      </c>
      <c r="AC763" t="str">
        <f t="shared" si="115"/>
        <v>August</v>
      </c>
      <c r="AD763">
        <f t="shared" si="116"/>
        <v>2025</v>
      </c>
      <c r="AE763" t="str">
        <f t="shared" si="117"/>
        <v>Clean</v>
      </c>
      <c r="AF763" t="str">
        <f t="shared" si="118"/>
        <v>Match</v>
      </c>
      <c r="AG763" t="str">
        <f t="shared" si="119"/>
        <v>Match</v>
      </c>
    </row>
    <row r="764" spans="1:33">
      <c r="A764" t="s">
        <v>2361</v>
      </c>
      <c r="B764" s="3">
        <v>45292</v>
      </c>
      <c r="C764" s="3">
        <v>45296</v>
      </c>
      <c r="D764">
        <f t="shared" si="110"/>
        <v>4</v>
      </c>
      <c r="E764" t="s">
        <v>2362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2363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>
        <v>1</v>
      </c>
      <c r="X764" t="s">
        <v>2765</v>
      </c>
      <c r="Y764">
        <f t="shared" si="111"/>
        <v>0.2</v>
      </c>
      <c r="Z764">
        <f t="shared" si="112"/>
        <v>5910.5920000000006</v>
      </c>
      <c r="AA764">
        <f t="shared" si="113"/>
        <v>1135.152000000001</v>
      </c>
      <c r="AB764" s="7">
        <f t="shared" si="114"/>
        <v>0.19205385856442145</v>
      </c>
      <c r="AC764" t="str">
        <f t="shared" si="115"/>
        <v>January</v>
      </c>
      <c r="AD764">
        <f t="shared" si="116"/>
        <v>2024</v>
      </c>
      <c r="AE764" t="str">
        <f t="shared" si="117"/>
        <v>Clean</v>
      </c>
      <c r="AF764" t="str">
        <f t="shared" si="118"/>
        <v>Match</v>
      </c>
      <c r="AG764" t="str">
        <f t="shared" si="119"/>
        <v>Match</v>
      </c>
    </row>
    <row r="765" spans="1:33">
      <c r="A765" t="s">
        <v>2364</v>
      </c>
      <c r="B765" s="3">
        <v>45892</v>
      </c>
      <c r="C765" s="3">
        <v>45894</v>
      </c>
      <c r="D765">
        <f t="shared" si="110"/>
        <v>2</v>
      </c>
      <c r="E765" t="s">
        <v>2365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2366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>
        <v>1</v>
      </c>
      <c r="X765" t="s">
        <v>2765</v>
      </c>
      <c r="Y765">
        <f t="shared" si="111"/>
        <v>0</v>
      </c>
      <c r="Z765">
        <f t="shared" si="112"/>
        <v>16454.88</v>
      </c>
      <c r="AA765">
        <f t="shared" si="113"/>
        <v>4373.34</v>
      </c>
      <c r="AB765" s="7">
        <f t="shared" si="114"/>
        <v>0.26577769026574488</v>
      </c>
      <c r="AC765" t="str">
        <f t="shared" si="115"/>
        <v>August</v>
      </c>
      <c r="AD765">
        <f t="shared" si="116"/>
        <v>2025</v>
      </c>
      <c r="AE765" t="str">
        <f t="shared" si="117"/>
        <v>Clean</v>
      </c>
      <c r="AF765" t="str">
        <f t="shared" si="118"/>
        <v>Match</v>
      </c>
      <c r="AG765" t="str">
        <f t="shared" si="119"/>
        <v>Match</v>
      </c>
    </row>
    <row r="766" spans="1:33">
      <c r="A766" t="s">
        <v>2367</v>
      </c>
      <c r="B766" s="3">
        <v>45760</v>
      </c>
      <c r="C766" s="3">
        <v>45760</v>
      </c>
      <c r="D766">
        <f t="shared" si="110"/>
        <v>0</v>
      </c>
      <c r="E766" t="s">
        <v>884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2368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>
        <v>1</v>
      </c>
      <c r="X766" t="s">
        <v>2765</v>
      </c>
      <c r="Y766">
        <f t="shared" si="111"/>
        <v>0.05</v>
      </c>
      <c r="Z766">
        <f t="shared" si="112"/>
        <v>25159.8</v>
      </c>
      <c r="AA766">
        <f t="shared" si="113"/>
        <v>3552.9699999999975</v>
      </c>
      <c r="AB766" s="7">
        <f t="shared" si="114"/>
        <v>0.14121614639226057</v>
      </c>
      <c r="AC766" t="str">
        <f t="shared" si="115"/>
        <v>April</v>
      </c>
      <c r="AD766">
        <f t="shared" si="116"/>
        <v>2025</v>
      </c>
      <c r="AE766" t="str">
        <f t="shared" si="117"/>
        <v>Clean</v>
      </c>
      <c r="AF766" t="str">
        <f t="shared" si="118"/>
        <v>Match</v>
      </c>
      <c r="AG766" t="str">
        <f t="shared" si="119"/>
        <v>Match</v>
      </c>
    </row>
    <row r="767" spans="1:33">
      <c r="A767" t="s">
        <v>2369</v>
      </c>
      <c r="B767" s="3">
        <v>45837</v>
      </c>
      <c r="C767" s="3">
        <v>45841</v>
      </c>
      <c r="D767">
        <f t="shared" si="110"/>
        <v>4</v>
      </c>
      <c r="E767" t="s">
        <v>2370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2371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>
        <v>1</v>
      </c>
      <c r="X767" t="s">
        <v>2765</v>
      </c>
      <c r="Y767">
        <f t="shared" si="111"/>
        <v>0</v>
      </c>
      <c r="Z767">
        <f t="shared" si="112"/>
        <v>1824.42</v>
      </c>
      <c r="AA767">
        <f t="shared" si="113"/>
        <v>609.55000000000018</v>
      </c>
      <c r="AB767" s="7">
        <f t="shared" si="114"/>
        <v>0.33410618169061956</v>
      </c>
      <c r="AC767" t="str">
        <f t="shared" si="115"/>
        <v>June</v>
      </c>
      <c r="AD767">
        <f t="shared" si="116"/>
        <v>2025</v>
      </c>
      <c r="AE767" t="str">
        <f t="shared" si="117"/>
        <v>Clean</v>
      </c>
      <c r="AF767" t="str">
        <f t="shared" si="118"/>
        <v>Match</v>
      </c>
      <c r="AG767" t="str">
        <f t="shared" si="119"/>
        <v>Match</v>
      </c>
    </row>
    <row r="768" spans="1:33">
      <c r="A768" t="s">
        <v>2372</v>
      </c>
      <c r="B768" s="3">
        <v>45552</v>
      </c>
      <c r="C768" s="3">
        <v>45559</v>
      </c>
      <c r="D768">
        <f t="shared" si="110"/>
        <v>7</v>
      </c>
      <c r="E768" t="s">
        <v>2373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2374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>
        <v>1</v>
      </c>
      <c r="X768" t="s">
        <v>2765</v>
      </c>
      <c r="Y768">
        <f t="shared" si="111"/>
        <v>0.2</v>
      </c>
      <c r="Z768">
        <f t="shared" si="112"/>
        <v>16617.312000000002</v>
      </c>
      <c r="AA768">
        <f t="shared" si="113"/>
        <v>7421.5820000000022</v>
      </c>
      <c r="AB768" s="7">
        <f t="shared" si="114"/>
        <v>0.44661747940942564</v>
      </c>
      <c r="AC768" t="str">
        <f t="shared" si="115"/>
        <v>September</v>
      </c>
      <c r="AD768">
        <f t="shared" si="116"/>
        <v>2024</v>
      </c>
      <c r="AE768" t="str">
        <f t="shared" si="117"/>
        <v>Clean</v>
      </c>
      <c r="AF768" t="str">
        <f t="shared" si="118"/>
        <v>Match</v>
      </c>
      <c r="AG768" t="str">
        <f t="shared" si="119"/>
        <v>Match</v>
      </c>
    </row>
    <row r="769" spans="1:33">
      <c r="A769" t="s">
        <v>2375</v>
      </c>
      <c r="B769" s="3">
        <v>45415</v>
      </c>
      <c r="C769" s="3">
        <v>45418</v>
      </c>
      <c r="D769">
        <f t="shared" si="110"/>
        <v>3</v>
      </c>
      <c r="E769" t="s">
        <v>2376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2377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>
        <v>1</v>
      </c>
      <c r="X769" t="s">
        <v>2765</v>
      </c>
      <c r="Y769">
        <f t="shared" si="111"/>
        <v>0.25</v>
      </c>
      <c r="Z769">
        <f t="shared" si="112"/>
        <v>933.43499999999995</v>
      </c>
      <c r="AA769">
        <f t="shared" si="113"/>
        <v>350.34499999999991</v>
      </c>
      <c r="AB769" s="7">
        <f t="shared" si="114"/>
        <v>0.3753287588316272</v>
      </c>
      <c r="AC769" t="str">
        <f t="shared" si="115"/>
        <v>May</v>
      </c>
      <c r="AD769">
        <f t="shared" si="116"/>
        <v>2024</v>
      </c>
      <c r="AE769" t="str">
        <f t="shared" si="117"/>
        <v>Clean</v>
      </c>
      <c r="AF769" t="str">
        <f t="shared" si="118"/>
        <v>Match</v>
      </c>
      <c r="AG769" t="str">
        <f t="shared" si="119"/>
        <v>Match</v>
      </c>
    </row>
    <row r="770" spans="1:33">
      <c r="A770" t="s">
        <v>2378</v>
      </c>
      <c r="B770" s="3">
        <v>45749</v>
      </c>
      <c r="C770" s="3">
        <v>45751</v>
      </c>
      <c r="D770">
        <f t="shared" ref="D770:D833" si="120">C770-B770</f>
        <v>2</v>
      </c>
      <c r="E770" t="s">
        <v>2379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2380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>
        <v>1</v>
      </c>
      <c r="X770" t="s">
        <v>2765</v>
      </c>
      <c r="Y770">
        <f t="shared" si="111"/>
        <v>0.1</v>
      </c>
      <c r="Z770">
        <f t="shared" si="112"/>
        <v>14554.08</v>
      </c>
      <c r="AA770">
        <f t="shared" si="113"/>
        <v>3387.24</v>
      </c>
      <c r="AB770" s="7">
        <f t="shared" si="114"/>
        <v>0.23273473830018798</v>
      </c>
      <c r="AC770" t="str">
        <f t="shared" si="115"/>
        <v>April</v>
      </c>
      <c r="AD770">
        <f t="shared" si="116"/>
        <v>2025</v>
      </c>
      <c r="AE770" t="str">
        <f t="shared" si="117"/>
        <v>Clean</v>
      </c>
      <c r="AF770" t="str">
        <f t="shared" si="118"/>
        <v>Match</v>
      </c>
      <c r="AG770" t="str">
        <f t="shared" si="119"/>
        <v>Match</v>
      </c>
    </row>
    <row r="771" spans="1:33">
      <c r="A771" t="s">
        <v>2381</v>
      </c>
      <c r="B771" s="3">
        <v>45423</v>
      </c>
      <c r="C771" s="3">
        <v>45425</v>
      </c>
      <c r="D771">
        <f t="shared" si="120"/>
        <v>2</v>
      </c>
      <c r="E771" t="s">
        <v>2382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2383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>
        <v>1</v>
      </c>
      <c r="X771" t="s">
        <v>2765</v>
      </c>
      <c r="Y771">
        <f t="shared" ref="Y771:Y834" si="121">IF(
Q771="",
0,
IF(Q771&gt;1,
Q771/100,
Q771)
)</f>
        <v>0.25</v>
      </c>
      <c r="Z771">
        <f t="shared" ref="Z771:Z834" si="122">O771*P771*(1-Y771)</f>
        <v>8128.6875</v>
      </c>
      <c r="AA771">
        <f t="shared" ref="AA771:AA834" si="123">Z771-S771</f>
        <v>3057.0275000000001</v>
      </c>
      <c r="AB771" s="7">
        <f t="shared" ref="AB771:AB834" si="124">IF(Z771=0,0,
AA771/Z771)</f>
        <v>0.3760788565189645</v>
      </c>
      <c r="AC771" t="str">
        <f t="shared" ref="AC771:AC834" si="125">TEXT(B771,"mmmm")</f>
        <v>May</v>
      </c>
      <c r="AD771">
        <f t="shared" ref="AD771:AD834" si="126">YEAR(B771)</f>
        <v>2024</v>
      </c>
      <c r="AE771" t="str">
        <f t="shared" ref="AE771:AE834" si="127">IF(
OR(
Y771&lt;0,
D771&lt;0
),
"Invalid",
IF(
X771="Review Required",
"Warning",
"Clean"
)
)</f>
        <v>Clean</v>
      </c>
      <c r="AF771" t="str">
        <f t="shared" ref="AF771:AF834" si="128">IF(ABS(R771-Z771)&gt;0.01,
"Mismatch",
"Match")</f>
        <v>Match</v>
      </c>
      <c r="AG771" t="str">
        <f t="shared" ref="AG771:AG834" si="129">IF(ABS(T771-AA771)&gt;0.01,
"Mismatch",
"Match")</f>
        <v>Match</v>
      </c>
    </row>
    <row r="772" spans="1:33">
      <c r="A772" t="s">
        <v>2384</v>
      </c>
      <c r="B772" s="3">
        <v>45337</v>
      </c>
      <c r="C772" s="3">
        <v>45339</v>
      </c>
      <c r="D772">
        <f t="shared" si="120"/>
        <v>2</v>
      </c>
      <c r="E772" t="s">
        <v>2385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2386</v>
      </c>
      <c r="N772" t="s">
        <v>50</v>
      </c>
      <c r="O772">
        <v>4</v>
      </c>
      <c r="P772">
        <v>863</v>
      </c>
      <c r="Q772"/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>
        <v>1</v>
      </c>
      <c r="X772" t="s">
        <v>2765</v>
      </c>
      <c r="Y772">
        <f t="shared" si="121"/>
        <v>0</v>
      </c>
      <c r="Z772">
        <f t="shared" si="122"/>
        <v>3452</v>
      </c>
      <c r="AA772">
        <f t="shared" si="123"/>
        <v>1075.3800000000001</v>
      </c>
      <c r="AB772" s="7">
        <f t="shared" si="124"/>
        <v>0.3115237543453071</v>
      </c>
      <c r="AC772" t="str">
        <f t="shared" si="125"/>
        <v>February</v>
      </c>
      <c r="AD772">
        <f t="shared" si="126"/>
        <v>2024</v>
      </c>
      <c r="AE772" t="str">
        <f t="shared" si="127"/>
        <v>Clean</v>
      </c>
      <c r="AF772" t="str">
        <f t="shared" si="128"/>
        <v>Mismatch</v>
      </c>
      <c r="AG772" t="str">
        <f t="shared" si="129"/>
        <v>Mismatch</v>
      </c>
    </row>
    <row r="773" spans="1:33">
      <c r="A773" t="s">
        <v>2387</v>
      </c>
      <c r="B773" s="3">
        <v>45485</v>
      </c>
      <c r="C773" s="3">
        <v>45487</v>
      </c>
      <c r="D773">
        <f t="shared" si="120"/>
        <v>2</v>
      </c>
      <c r="E773" t="s">
        <v>467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2388</v>
      </c>
      <c r="N773" t="s">
        <v>31</v>
      </c>
      <c r="O773">
        <v>4</v>
      </c>
      <c r="P773">
        <v>2131.41</v>
      </c>
      <c r="Q773"/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>
        <v>1</v>
      </c>
      <c r="X773" t="s">
        <v>2765</v>
      </c>
      <c r="Y773">
        <f t="shared" si="121"/>
        <v>0</v>
      </c>
      <c r="Z773">
        <f t="shared" si="122"/>
        <v>8525.64</v>
      </c>
      <c r="AA773">
        <f t="shared" si="123"/>
        <v>5004.9499999999989</v>
      </c>
      <c r="AB773" s="7">
        <f t="shared" si="124"/>
        <v>0.58704683753946907</v>
      </c>
      <c r="AC773" t="str">
        <f t="shared" si="125"/>
        <v>July</v>
      </c>
      <c r="AD773">
        <f t="shared" si="126"/>
        <v>2024</v>
      </c>
      <c r="AE773" t="str">
        <f t="shared" si="127"/>
        <v>Clean</v>
      </c>
      <c r="AF773" t="str">
        <f t="shared" si="128"/>
        <v>Mismatch</v>
      </c>
      <c r="AG773" t="str">
        <f t="shared" si="129"/>
        <v>Mismatch</v>
      </c>
    </row>
    <row r="774" spans="1:33">
      <c r="A774" t="s">
        <v>2389</v>
      </c>
      <c r="B774" s="3">
        <v>45853</v>
      </c>
      <c r="C774" s="3">
        <v>45857</v>
      </c>
      <c r="D774">
        <f t="shared" si="120"/>
        <v>4</v>
      </c>
      <c r="E774" t="s">
        <v>2390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2391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>
        <v>1</v>
      </c>
      <c r="X774" t="s">
        <v>2765</v>
      </c>
      <c r="Y774">
        <f t="shared" si="121"/>
        <v>0.05</v>
      </c>
      <c r="Z774">
        <f t="shared" si="122"/>
        <v>3708.0589999999997</v>
      </c>
      <c r="AA774">
        <f t="shared" si="123"/>
        <v>947.76899999999978</v>
      </c>
      <c r="AB774" s="7">
        <f t="shared" si="124"/>
        <v>0.25559706574248142</v>
      </c>
      <c r="AC774" t="str">
        <f t="shared" si="125"/>
        <v>July</v>
      </c>
      <c r="AD774">
        <f t="shared" si="126"/>
        <v>2025</v>
      </c>
      <c r="AE774" t="str">
        <f t="shared" si="127"/>
        <v>Clean</v>
      </c>
      <c r="AF774" t="str">
        <f t="shared" si="128"/>
        <v>Match</v>
      </c>
      <c r="AG774" t="str">
        <f t="shared" si="129"/>
        <v>Match</v>
      </c>
    </row>
    <row r="775" spans="1:33">
      <c r="A775" t="s">
        <v>2392</v>
      </c>
      <c r="B775" s="3">
        <v>45709</v>
      </c>
      <c r="C775" s="3">
        <v>45709</v>
      </c>
      <c r="D775">
        <f t="shared" si="120"/>
        <v>0</v>
      </c>
      <c r="E775" t="s">
        <v>2393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2394</v>
      </c>
      <c r="N775" t="s">
        <v>2760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>
        <v>1</v>
      </c>
      <c r="X775" t="s">
        <v>2765</v>
      </c>
      <c r="Y775">
        <f t="shared" si="121"/>
        <v>0.2</v>
      </c>
      <c r="Z775">
        <f t="shared" si="122"/>
        <v>9424.2240000000002</v>
      </c>
      <c r="AA775">
        <f t="shared" si="123"/>
        <v>3245.3040000000001</v>
      </c>
      <c r="AB775" s="7">
        <f t="shared" si="124"/>
        <v>0.3443576892909167</v>
      </c>
      <c r="AC775" t="str">
        <f t="shared" si="125"/>
        <v>February</v>
      </c>
      <c r="AD775">
        <f t="shared" si="126"/>
        <v>2025</v>
      </c>
      <c r="AE775" t="str">
        <f t="shared" si="127"/>
        <v>Clean</v>
      </c>
      <c r="AF775" t="str">
        <f t="shared" si="128"/>
        <v>Match</v>
      </c>
      <c r="AG775" t="str">
        <f t="shared" si="129"/>
        <v>Match</v>
      </c>
    </row>
    <row r="776" spans="1:33">
      <c r="A776" t="s">
        <v>2395</v>
      </c>
      <c r="B776" s="3">
        <v>45876</v>
      </c>
      <c r="C776" s="3">
        <v>45876</v>
      </c>
      <c r="D776">
        <f t="shared" si="120"/>
        <v>0</v>
      </c>
      <c r="E776" t="s">
        <v>2396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2397</v>
      </c>
      <c r="N776" t="s">
        <v>2760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>
        <v>1</v>
      </c>
      <c r="X776" t="s">
        <v>2765</v>
      </c>
      <c r="Y776">
        <f t="shared" si="121"/>
        <v>0.2</v>
      </c>
      <c r="Z776">
        <f t="shared" si="122"/>
        <v>7752.6</v>
      </c>
      <c r="AA776">
        <f t="shared" si="123"/>
        <v>3063.3</v>
      </c>
      <c r="AB776" s="7">
        <f t="shared" si="124"/>
        <v>0.39513195573098059</v>
      </c>
      <c r="AC776" t="str">
        <f t="shared" si="125"/>
        <v>August</v>
      </c>
      <c r="AD776">
        <f t="shared" si="126"/>
        <v>2025</v>
      </c>
      <c r="AE776" t="str">
        <f t="shared" si="127"/>
        <v>Clean</v>
      </c>
      <c r="AF776" t="str">
        <f t="shared" si="128"/>
        <v>Match</v>
      </c>
      <c r="AG776" t="str">
        <f t="shared" si="129"/>
        <v>Match</v>
      </c>
    </row>
    <row r="777" spans="1:33">
      <c r="A777" t="s">
        <v>2398</v>
      </c>
      <c r="B777" s="3">
        <v>45396</v>
      </c>
      <c r="C777" s="3">
        <v>45404</v>
      </c>
      <c r="D777">
        <f t="shared" si="120"/>
        <v>8</v>
      </c>
      <c r="E777" t="s">
        <v>2399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2400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>
        <v>1</v>
      </c>
      <c r="X777" t="s">
        <v>2765</v>
      </c>
      <c r="Y777">
        <f t="shared" si="121"/>
        <v>0.25</v>
      </c>
      <c r="Z777">
        <f t="shared" si="122"/>
        <v>23736.720000000001</v>
      </c>
      <c r="AA777">
        <f t="shared" si="123"/>
        <v>9845.8200000000015</v>
      </c>
      <c r="AB777" s="7">
        <f t="shared" si="124"/>
        <v>0.41479277676106896</v>
      </c>
      <c r="AC777" t="str">
        <f t="shared" si="125"/>
        <v>April</v>
      </c>
      <c r="AD777">
        <f t="shared" si="126"/>
        <v>2024</v>
      </c>
      <c r="AE777" t="str">
        <f t="shared" si="127"/>
        <v>Clean</v>
      </c>
      <c r="AF777" t="str">
        <f t="shared" si="128"/>
        <v>Match</v>
      </c>
      <c r="AG777" t="str">
        <f t="shared" si="129"/>
        <v>Match</v>
      </c>
    </row>
    <row r="778" spans="1:33">
      <c r="A778" t="s">
        <v>2401</v>
      </c>
      <c r="B778" s="3">
        <v>45816</v>
      </c>
      <c r="C778" s="3">
        <v>45821</v>
      </c>
      <c r="D778">
        <f t="shared" si="120"/>
        <v>5</v>
      </c>
      <c r="E778" t="s">
        <v>2402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2403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>
        <v>1</v>
      </c>
      <c r="X778" t="s">
        <v>2765</v>
      </c>
      <c r="Y778">
        <f t="shared" si="121"/>
        <v>0</v>
      </c>
      <c r="Z778">
        <f t="shared" si="122"/>
        <v>26999.91</v>
      </c>
      <c r="AA778">
        <f t="shared" si="123"/>
        <v>9183.93</v>
      </c>
      <c r="AB778" s="7">
        <f t="shared" si="124"/>
        <v>0.34014668937785347</v>
      </c>
      <c r="AC778" t="str">
        <f t="shared" si="125"/>
        <v>June</v>
      </c>
      <c r="AD778">
        <f t="shared" si="126"/>
        <v>2025</v>
      </c>
      <c r="AE778" t="str">
        <f t="shared" si="127"/>
        <v>Clean</v>
      </c>
      <c r="AF778" t="str">
        <f t="shared" si="128"/>
        <v>Match</v>
      </c>
      <c r="AG778" t="str">
        <f t="shared" si="129"/>
        <v>Match</v>
      </c>
    </row>
    <row r="779" spans="1:33">
      <c r="A779" t="s">
        <v>2404</v>
      </c>
      <c r="B779" s="3">
        <v>45326</v>
      </c>
      <c r="C779" s="3">
        <v>45328</v>
      </c>
      <c r="D779">
        <f t="shared" si="120"/>
        <v>2</v>
      </c>
      <c r="E779" t="s">
        <v>2405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2406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>
        <v>1</v>
      </c>
      <c r="X779" t="s">
        <v>2765</v>
      </c>
      <c r="Y779">
        <f t="shared" si="121"/>
        <v>0.15</v>
      </c>
      <c r="Z779">
        <f t="shared" si="122"/>
        <v>5065.116</v>
      </c>
      <c r="AA779">
        <f t="shared" si="123"/>
        <v>1534.9960000000001</v>
      </c>
      <c r="AB779" s="7">
        <f t="shared" si="124"/>
        <v>0.30305248685321323</v>
      </c>
      <c r="AC779" t="str">
        <f t="shared" si="125"/>
        <v>February</v>
      </c>
      <c r="AD779">
        <f t="shared" si="126"/>
        <v>2024</v>
      </c>
      <c r="AE779" t="str">
        <f t="shared" si="127"/>
        <v>Clean</v>
      </c>
      <c r="AF779" t="str">
        <f t="shared" si="128"/>
        <v>Match</v>
      </c>
      <c r="AG779" t="str">
        <f t="shared" si="129"/>
        <v>Match</v>
      </c>
    </row>
    <row r="780" spans="1:33">
      <c r="A780" t="s">
        <v>2407</v>
      </c>
      <c r="B780" s="3">
        <v>45497</v>
      </c>
      <c r="C780" s="3">
        <v>45497</v>
      </c>
      <c r="D780">
        <f t="shared" si="120"/>
        <v>0</v>
      </c>
      <c r="E780" t="s">
        <v>2408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2409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>
        <v>1</v>
      </c>
      <c r="X780" t="s">
        <v>2765</v>
      </c>
      <c r="Y780">
        <f t="shared" si="121"/>
        <v>0</v>
      </c>
      <c r="Z780">
        <f t="shared" si="122"/>
        <v>6707.52</v>
      </c>
      <c r="AA780">
        <f t="shared" si="123"/>
        <v>1034.9500000000007</v>
      </c>
      <c r="AB780" s="7">
        <f t="shared" si="124"/>
        <v>0.15429696817899918</v>
      </c>
      <c r="AC780" t="str">
        <f t="shared" si="125"/>
        <v>July</v>
      </c>
      <c r="AD780">
        <f t="shared" si="126"/>
        <v>2024</v>
      </c>
      <c r="AE780" t="str">
        <f t="shared" si="127"/>
        <v>Clean</v>
      </c>
      <c r="AF780" t="str">
        <f t="shared" si="128"/>
        <v>Match</v>
      </c>
      <c r="AG780" t="str">
        <f t="shared" si="129"/>
        <v>Match</v>
      </c>
    </row>
    <row r="781" spans="1:33">
      <c r="A781" t="s">
        <v>2410</v>
      </c>
      <c r="B781" s="3">
        <v>45306</v>
      </c>
      <c r="C781" s="3">
        <v>45311</v>
      </c>
      <c r="D781">
        <f t="shared" si="120"/>
        <v>5</v>
      </c>
      <c r="E781" t="s">
        <v>2411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2412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>
        <v>1</v>
      </c>
      <c r="X781" t="s">
        <v>2765</v>
      </c>
      <c r="Y781">
        <f t="shared" si="121"/>
        <v>0.05</v>
      </c>
      <c r="Z781">
        <f t="shared" si="122"/>
        <v>11983.451999999999</v>
      </c>
      <c r="AA781">
        <f t="shared" si="123"/>
        <v>3410.5519999999997</v>
      </c>
      <c r="AB781" s="7">
        <f t="shared" si="124"/>
        <v>0.2846051371507976</v>
      </c>
      <c r="AC781" t="str">
        <f t="shared" si="125"/>
        <v>January</v>
      </c>
      <c r="AD781">
        <f t="shared" si="126"/>
        <v>2024</v>
      </c>
      <c r="AE781" t="str">
        <f t="shared" si="127"/>
        <v>Clean</v>
      </c>
      <c r="AF781" t="str">
        <f t="shared" si="128"/>
        <v>Match</v>
      </c>
      <c r="AG781" t="str">
        <f t="shared" si="129"/>
        <v>Match</v>
      </c>
    </row>
    <row r="782" spans="1:33">
      <c r="A782" t="s">
        <v>2413</v>
      </c>
      <c r="B782" s="3">
        <v>45508</v>
      </c>
      <c r="C782" s="3">
        <v>45514</v>
      </c>
      <c r="D782">
        <f t="shared" si="120"/>
        <v>6</v>
      </c>
      <c r="E782" t="s">
        <v>2414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2415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>
        <v>1</v>
      </c>
      <c r="X782" t="s">
        <v>2765</v>
      </c>
      <c r="Y782">
        <f t="shared" si="121"/>
        <v>0.2</v>
      </c>
      <c r="Z782">
        <f t="shared" si="122"/>
        <v>1364.576</v>
      </c>
      <c r="AA782">
        <f t="shared" si="123"/>
        <v>386.41600000000005</v>
      </c>
      <c r="AB782" s="7">
        <f t="shared" si="124"/>
        <v>0.28317660577351506</v>
      </c>
      <c r="AC782" t="str">
        <f t="shared" si="125"/>
        <v>August</v>
      </c>
      <c r="AD782">
        <f t="shared" si="126"/>
        <v>2024</v>
      </c>
      <c r="AE782" t="str">
        <f t="shared" si="127"/>
        <v>Clean</v>
      </c>
      <c r="AF782" t="str">
        <f t="shared" si="128"/>
        <v>Match</v>
      </c>
      <c r="AG782" t="str">
        <f t="shared" si="129"/>
        <v>Match</v>
      </c>
    </row>
    <row r="783" spans="1:33">
      <c r="A783" t="s">
        <v>2416</v>
      </c>
      <c r="B783" s="3">
        <v>45324</v>
      </c>
      <c r="C783" s="3">
        <v>45332</v>
      </c>
      <c r="D783">
        <f t="shared" si="120"/>
        <v>8</v>
      </c>
      <c r="E783" t="s">
        <v>2417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2418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>
        <v>1</v>
      </c>
      <c r="X783" t="s">
        <v>2765</v>
      </c>
      <c r="Y783">
        <f t="shared" si="121"/>
        <v>0.25</v>
      </c>
      <c r="Z783">
        <f t="shared" si="122"/>
        <v>862.64999999999986</v>
      </c>
      <c r="AA783">
        <f t="shared" si="123"/>
        <v>258.91999999999985</v>
      </c>
      <c r="AB783" s="7">
        <f t="shared" si="124"/>
        <v>0.30014490233582553</v>
      </c>
      <c r="AC783" t="str">
        <f t="shared" si="125"/>
        <v>February</v>
      </c>
      <c r="AD783">
        <f t="shared" si="126"/>
        <v>2024</v>
      </c>
      <c r="AE783" t="str">
        <f t="shared" si="127"/>
        <v>Clean</v>
      </c>
      <c r="AF783" t="str">
        <f t="shared" si="128"/>
        <v>Match</v>
      </c>
      <c r="AG783" t="str">
        <f t="shared" si="129"/>
        <v>Match</v>
      </c>
    </row>
    <row r="784" spans="1:33">
      <c r="A784" t="s">
        <v>2419</v>
      </c>
      <c r="B784" s="3">
        <v>45730</v>
      </c>
      <c r="C784" s="3">
        <v>45738</v>
      </c>
      <c r="D784">
        <f t="shared" si="120"/>
        <v>8</v>
      </c>
      <c r="E784" t="s">
        <v>2420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2421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>
        <v>1</v>
      </c>
      <c r="X784" t="s">
        <v>2765</v>
      </c>
      <c r="Y784">
        <f t="shared" si="121"/>
        <v>0.15</v>
      </c>
      <c r="Z784">
        <f t="shared" si="122"/>
        <v>1138.3709999999999</v>
      </c>
      <c r="AA784">
        <f t="shared" si="123"/>
        <v>341.03099999999984</v>
      </c>
      <c r="AB784" s="7">
        <f t="shared" si="124"/>
        <v>0.29957808131092578</v>
      </c>
      <c r="AC784" t="str">
        <f t="shared" si="125"/>
        <v>March</v>
      </c>
      <c r="AD784">
        <f t="shared" si="126"/>
        <v>2025</v>
      </c>
      <c r="AE784" t="str">
        <f t="shared" si="127"/>
        <v>Clean</v>
      </c>
      <c r="AF784" t="str">
        <f t="shared" si="128"/>
        <v>Match</v>
      </c>
      <c r="AG784" t="str">
        <f t="shared" si="129"/>
        <v>Match</v>
      </c>
    </row>
    <row r="785" spans="1:33">
      <c r="A785" t="s">
        <v>2422</v>
      </c>
      <c r="B785" s="3">
        <v>45450</v>
      </c>
      <c r="C785" s="3">
        <v>45450</v>
      </c>
      <c r="D785">
        <f t="shared" si="120"/>
        <v>0</v>
      </c>
      <c r="E785" t="s">
        <v>2423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2424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>
        <v>1</v>
      </c>
      <c r="X785" t="s">
        <v>2765</v>
      </c>
      <c r="Y785">
        <f t="shared" si="121"/>
        <v>0.05</v>
      </c>
      <c r="Z785">
        <f t="shared" si="122"/>
        <v>2452.8334999999997</v>
      </c>
      <c r="AA785">
        <f t="shared" si="123"/>
        <v>546.13349999999969</v>
      </c>
      <c r="AB785" s="7">
        <f t="shared" si="124"/>
        <v>0.22265412634000625</v>
      </c>
      <c r="AC785" t="str">
        <f t="shared" si="125"/>
        <v>June</v>
      </c>
      <c r="AD785">
        <f t="shared" si="126"/>
        <v>2024</v>
      </c>
      <c r="AE785" t="str">
        <f t="shared" si="127"/>
        <v>Clean</v>
      </c>
      <c r="AF785" t="str">
        <f t="shared" si="128"/>
        <v>Match</v>
      </c>
      <c r="AG785" t="str">
        <f t="shared" si="129"/>
        <v>Match</v>
      </c>
    </row>
    <row r="786" spans="1:33">
      <c r="A786" t="s">
        <v>2425</v>
      </c>
      <c r="B786" s="3">
        <v>45934</v>
      </c>
      <c r="C786" s="3">
        <v>45935</v>
      </c>
      <c r="D786">
        <f t="shared" si="120"/>
        <v>1</v>
      </c>
      <c r="E786" t="s">
        <v>2426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2427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>
        <v>1</v>
      </c>
      <c r="X786" t="s">
        <v>2765</v>
      </c>
      <c r="Y786">
        <f t="shared" si="121"/>
        <v>0.05</v>
      </c>
      <c r="Z786">
        <f t="shared" si="122"/>
        <v>1589.0840000000001</v>
      </c>
      <c r="AA786">
        <f t="shared" si="123"/>
        <v>504.42399999999998</v>
      </c>
      <c r="AB786" s="7">
        <f t="shared" si="124"/>
        <v>0.31743067075120002</v>
      </c>
      <c r="AC786" t="str">
        <f t="shared" si="125"/>
        <v>October</v>
      </c>
      <c r="AD786">
        <f t="shared" si="126"/>
        <v>2025</v>
      </c>
      <c r="AE786" t="str">
        <f t="shared" si="127"/>
        <v>Clean</v>
      </c>
      <c r="AF786" t="str">
        <f t="shared" si="128"/>
        <v>Match</v>
      </c>
      <c r="AG786" t="str">
        <f t="shared" si="129"/>
        <v>Match</v>
      </c>
    </row>
    <row r="787" spans="1:33">
      <c r="A787" t="s">
        <v>2428</v>
      </c>
      <c r="B787" s="3">
        <v>45435</v>
      </c>
      <c r="C787" s="3">
        <v>45441</v>
      </c>
      <c r="D787">
        <f t="shared" si="120"/>
        <v>6</v>
      </c>
      <c r="E787" t="s">
        <v>2429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2430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>
        <v>1</v>
      </c>
      <c r="X787" t="s">
        <v>2765</v>
      </c>
      <c r="Y787">
        <f t="shared" si="121"/>
        <v>0.25</v>
      </c>
      <c r="Z787">
        <f t="shared" si="122"/>
        <v>4519.41</v>
      </c>
      <c r="AA787">
        <f t="shared" si="123"/>
        <v>1015.25</v>
      </c>
      <c r="AB787" s="7">
        <f t="shared" si="124"/>
        <v>0.22464215461752751</v>
      </c>
      <c r="AC787" t="str">
        <f t="shared" si="125"/>
        <v>May</v>
      </c>
      <c r="AD787">
        <f t="shared" si="126"/>
        <v>2024</v>
      </c>
      <c r="AE787" t="str">
        <f t="shared" si="127"/>
        <v>Clean</v>
      </c>
      <c r="AF787" t="str">
        <f t="shared" si="128"/>
        <v>Match</v>
      </c>
      <c r="AG787" t="str">
        <f t="shared" si="129"/>
        <v>Mismatch</v>
      </c>
    </row>
    <row r="788" spans="1:33">
      <c r="A788" t="s">
        <v>2431</v>
      </c>
      <c r="B788" s="3">
        <v>45844</v>
      </c>
      <c r="C788" s="3">
        <v>45846</v>
      </c>
      <c r="D788">
        <f t="shared" si="120"/>
        <v>2</v>
      </c>
      <c r="E788" t="s">
        <v>2432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2433</v>
      </c>
      <c r="N788" t="s">
        <v>2760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>
        <v>1</v>
      </c>
      <c r="X788" t="s">
        <v>2765</v>
      </c>
      <c r="Y788">
        <f t="shared" si="121"/>
        <v>0.05</v>
      </c>
      <c r="Z788">
        <f t="shared" si="122"/>
        <v>2718.71</v>
      </c>
      <c r="AA788">
        <f t="shared" si="123"/>
        <v>653.65999999999985</v>
      </c>
      <c r="AB788" s="7">
        <f t="shared" si="124"/>
        <v>0.24043020403058799</v>
      </c>
      <c r="AC788" t="str">
        <f t="shared" si="125"/>
        <v>July</v>
      </c>
      <c r="AD788">
        <f t="shared" si="126"/>
        <v>2025</v>
      </c>
      <c r="AE788" t="str">
        <f t="shared" si="127"/>
        <v>Clean</v>
      </c>
      <c r="AF788" t="str">
        <f t="shared" si="128"/>
        <v>Match</v>
      </c>
      <c r="AG788" t="str">
        <f t="shared" si="129"/>
        <v>Match</v>
      </c>
    </row>
    <row r="789" spans="1:33">
      <c r="A789" t="s">
        <v>2434</v>
      </c>
      <c r="B789" s="3">
        <v>45547</v>
      </c>
      <c r="C789" s="3">
        <v>45553</v>
      </c>
      <c r="D789">
        <f t="shared" si="120"/>
        <v>6</v>
      </c>
      <c r="E789" t="s">
        <v>2435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2436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>
        <v>1</v>
      </c>
      <c r="X789" t="s">
        <v>2765</v>
      </c>
      <c r="Y789">
        <f t="shared" si="121"/>
        <v>0.05</v>
      </c>
      <c r="Z789">
        <f t="shared" si="122"/>
        <v>7065.6629999999996</v>
      </c>
      <c r="AA789">
        <f t="shared" si="123"/>
        <v>2150.3929999999991</v>
      </c>
      <c r="AB789" s="7">
        <f t="shared" si="124"/>
        <v>0.30434412170521002</v>
      </c>
      <c r="AC789" t="str">
        <f t="shared" si="125"/>
        <v>September</v>
      </c>
      <c r="AD789">
        <f t="shared" si="126"/>
        <v>2024</v>
      </c>
      <c r="AE789" t="str">
        <f t="shared" si="127"/>
        <v>Clean</v>
      </c>
      <c r="AF789" t="str">
        <f t="shared" si="128"/>
        <v>Match</v>
      </c>
      <c r="AG789" t="str">
        <f t="shared" si="129"/>
        <v>Match</v>
      </c>
    </row>
    <row r="790" spans="1:33">
      <c r="A790" t="s">
        <v>2437</v>
      </c>
      <c r="B790" s="3">
        <v>45505</v>
      </c>
      <c r="C790" s="3">
        <v>45506</v>
      </c>
      <c r="D790">
        <f t="shared" si="120"/>
        <v>1</v>
      </c>
      <c r="E790" t="s">
        <v>2438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2439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>
        <v>1</v>
      </c>
      <c r="X790" t="s">
        <v>2765</v>
      </c>
      <c r="Y790">
        <f t="shared" si="121"/>
        <v>0.1</v>
      </c>
      <c r="Z790">
        <f t="shared" si="122"/>
        <v>17911.007999999998</v>
      </c>
      <c r="AA790">
        <f t="shared" si="123"/>
        <v>6364.9579999999987</v>
      </c>
      <c r="AB790" s="7">
        <f t="shared" si="124"/>
        <v>0.35536570582738836</v>
      </c>
      <c r="AC790" t="str">
        <f t="shared" si="125"/>
        <v>August</v>
      </c>
      <c r="AD790">
        <f t="shared" si="126"/>
        <v>2024</v>
      </c>
      <c r="AE790" t="str">
        <f t="shared" si="127"/>
        <v>Clean</v>
      </c>
      <c r="AF790" t="str">
        <f t="shared" si="128"/>
        <v>Match</v>
      </c>
      <c r="AG790" t="str">
        <f t="shared" si="129"/>
        <v>Match</v>
      </c>
    </row>
    <row r="791" spans="1:33">
      <c r="A791" t="s">
        <v>2440</v>
      </c>
      <c r="B791" s="3">
        <v>45723</v>
      </c>
      <c r="C791" s="3">
        <v>45724</v>
      </c>
      <c r="D791">
        <f t="shared" si="120"/>
        <v>1</v>
      </c>
      <c r="E791" t="s">
        <v>2441</v>
      </c>
      <c r="F791" t="s">
        <v>114</v>
      </c>
      <c r="G791" t="s">
        <v>95</v>
      </c>
      <c r="H791" t="s">
        <v>2760</v>
      </c>
      <c r="I791" t="s">
        <v>26</v>
      </c>
      <c r="J791" t="s">
        <v>109</v>
      </c>
      <c r="K791" t="s">
        <v>74</v>
      </c>
      <c r="L791" t="s">
        <v>80</v>
      </c>
      <c r="M791" t="s">
        <v>2442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>
        <v>1</v>
      </c>
      <c r="X791" t="s">
        <v>2765</v>
      </c>
      <c r="Y791">
        <f t="shared" si="121"/>
        <v>0</v>
      </c>
      <c r="Z791">
        <f t="shared" si="122"/>
        <v>14149.92</v>
      </c>
      <c r="AA791">
        <f t="shared" si="123"/>
        <v>4683.41</v>
      </c>
      <c r="AB791" s="7">
        <f t="shared" si="124"/>
        <v>0.33098491016203624</v>
      </c>
      <c r="AC791" t="str">
        <f t="shared" si="125"/>
        <v>March</v>
      </c>
      <c r="AD791">
        <f t="shared" si="126"/>
        <v>2025</v>
      </c>
      <c r="AE791" t="str">
        <f t="shared" si="127"/>
        <v>Clean</v>
      </c>
      <c r="AF791" t="str">
        <f t="shared" si="128"/>
        <v>Match</v>
      </c>
      <c r="AG791" t="str">
        <f t="shared" si="129"/>
        <v>Match</v>
      </c>
    </row>
    <row r="792" spans="1:33">
      <c r="A792" t="s">
        <v>2443</v>
      </c>
      <c r="B792" s="3">
        <v>45443</v>
      </c>
      <c r="C792" s="3">
        <v>45445</v>
      </c>
      <c r="D792">
        <f t="shared" si="120"/>
        <v>2</v>
      </c>
      <c r="E792" t="s">
        <v>2444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2445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>
        <v>1</v>
      </c>
      <c r="X792" t="s">
        <v>2765</v>
      </c>
      <c r="Y792">
        <f t="shared" si="121"/>
        <v>0.2</v>
      </c>
      <c r="Z792">
        <f t="shared" si="122"/>
        <v>4272.576</v>
      </c>
      <c r="AA792">
        <f t="shared" si="123"/>
        <v>943.65599999999995</v>
      </c>
      <c r="AB792" s="7">
        <f t="shared" si="124"/>
        <v>0.22086347908147214</v>
      </c>
      <c r="AC792" t="str">
        <f t="shared" si="125"/>
        <v>May</v>
      </c>
      <c r="AD792">
        <f t="shared" si="126"/>
        <v>2024</v>
      </c>
      <c r="AE792" t="str">
        <f t="shared" si="127"/>
        <v>Clean</v>
      </c>
      <c r="AF792" t="str">
        <f t="shared" si="128"/>
        <v>Match</v>
      </c>
      <c r="AG792" t="str">
        <f t="shared" si="129"/>
        <v>Match</v>
      </c>
    </row>
    <row r="793" spans="1:33">
      <c r="A793" t="s">
        <v>2446</v>
      </c>
      <c r="B793" s="3">
        <v>45567</v>
      </c>
      <c r="C793" s="3">
        <v>45571</v>
      </c>
      <c r="D793">
        <f t="shared" si="120"/>
        <v>4</v>
      </c>
      <c r="E793" t="s">
        <v>2447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2448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>
        <v>1</v>
      </c>
      <c r="X793" t="s">
        <v>2765</v>
      </c>
      <c r="Y793">
        <f t="shared" si="121"/>
        <v>0.25</v>
      </c>
      <c r="Z793">
        <f t="shared" si="122"/>
        <v>9352.619999999999</v>
      </c>
      <c r="AA793">
        <f t="shared" si="123"/>
        <v>4083.2099999999991</v>
      </c>
      <c r="AB793" s="7">
        <f t="shared" si="124"/>
        <v>0.43658461479243243</v>
      </c>
      <c r="AC793" t="str">
        <f t="shared" si="125"/>
        <v>October</v>
      </c>
      <c r="AD793">
        <f t="shared" si="126"/>
        <v>2024</v>
      </c>
      <c r="AE793" t="str">
        <f t="shared" si="127"/>
        <v>Clean</v>
      </c>
      <c r="AF793" t="str">
        <f t="shared" si="128"/>
        <v>Match</v>
      </c>
      <c r="AG793" t="str">
        <f t="shared" si="129"/>
        <v>Match</v>
      </c>
    </row>
    <row r="794" spans="1:33">
      <c r="A794" t="s">
        <v>2449</v>
      </c>
      <c r="B794" s="3">
        <v>45812</v>
      </c>
      <c r="C794" s="3">
        <v>45816</v>
      </c>
      <c r="D794">
        <f t="shared" si="120"/>
        <v>4</v>
      </c>
      <c r="E794" t="s">
        <v>2450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2451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>
        <v>1</v>
      </c>
      <c r="X794" t="s">
        <v>2765</v>
      </c>
      <c r="Y794">
        <f t="shared" si="121"/>
        <v>0.2</v>
      </c>
      <c r="Z794">
        <f t="shared" si="122"/>
        <v>2800.8960000000002</v>
      </c>
      <c r="AA794">
        <f t="shared" si="123"/>
        <v>1064.9160000000002</v>
      </c>
      <c r="AB794" s="7">
        <f t="shared" si="124"/>
        <v>0.38020547710446945</v>
      </c>
      <c r="AC794" t="str">
        <f t="shared" si="125"/>
        <v>June</v>
      </c>
      <c r="AD794">
        <f t="shared" si="126"/>
        <v>2025</v>
      </c>
      <c r="AE794" t="str">
        <f t="shared" si="127"/>
        <v>Clean</v>
      </c>
      <c r="AF794" t="str">
        <f t="shared" si="128"/>
        <v>Match</v>
      </c>
      <c r="AG794" t="str">
        <f t="shared" si="129"/>
        <v>Match</v>
      </c>
    </row>
    <row r="795" spans="1:33">
      <c r="A795" t="s">
        <v>2452</v>
      </c>
      <c r="B795" s="3">
        <v>45440</v>
      </c>
      <c r="C795" s="3">
        <v>45446</v>
      </c>
      <c r="D795">
        <f t="shared" si="120"/>
        <v>6</v>
      </c>
      <c r="E795" t="s">
        <v>2453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2454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>
        <v>1</v>
      </c>
      <c r="X795" t="s">
        <v>2765</v>
      </c>
      <c r="Y795">
        <f t="shared" si="121"/>
        <v>0</v>
      </c>
      <c r="Z795">
        <f t="shared" si="122"/>
        <v>21511.599999999999</v>
      </c>
      <c r="AA795">
        <f t="shared" si="123"/>
        <v>6103.1299999999992</v>
      </c>
      <c r="AB795" s="7">
        <f t="shared" si="124"/>
        <v>0.28371343833094703</v>
      </c>
      <c r="AC795" t="str">
        <f t="shared" si="125"/>
        <v>May</v>
      </c>
      <c r="AD795">
        <f t="shared" si="126"/>
        <v>2024</v>
      </c>
      <c r="AE795" t="str">
        <f t="shared" si="127"/>
        <v>Clean</v>
      </c>
      <c r="AF795" t="str">
        <f t="shared" si="128"/>
        <v>Match</v>
      </c>
      <c r="AG795" t="str">
        <f t="shared" si="129"/>
        <v>Match</v>
      </c>
    </row>
    <row r="796" spans="1:33">
      <c r="A796" t="s">
        <v>2455</v>
      </c>
      <c r="B796" s="3">
        <v>45830</v>
      </c>
      <c r="C796" s="3">
        <v>45832</v>
      </c>
      <c r="D796">
        <f t="shared" si="120"/>
        <v>2</v>
      </c>
      <c r="E796" t="s">
        <v>2456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2457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>
        <v>1</v>
      </c>
      <c r="X796" t="s">
        <v>2765</v>
      </c>
      <c r="Y796">
        <f t="shared" si="121"/>
        <v>0.15</v>
      </c>
      <c r="Z796">
        <f t="shared" si="122"/>
        <v>7279.3574999999992</v>
      </c>
      <c r="AA796">
        <f t="shared" si="123"/>
        <v>2408.9674999999988</v>
      </c>
      <c r="AB796" s="7">
        <f t="shared" si="124"/>
        <v>0.33093133562955235</v>
      </c>
      <c r="AC796" t="str">
        <f t="shared" si="125"/>
        <v>June</v>
      </c>
      <c r="AD796">
        <f t="shared" si="126"/>
        <v>2025</v>
      </c>
      <c r="AE796" t="str">
        <f t="shared" si="127"/>
        <v>Clean</v>
      </c>
      <c r="AF796" t="str">
        <f t="shared" si="128"/>
        <v>Match</v>
      </c>
      <c r="AG796" t="str">
        <f t="shared" si="129"/>
        <v>Match</v>
      </c>
    </row>
    <row r="797" spans="1:33">
      <c r="A797" t="s">
        <v>2458</v>
      </c>
      <c r="B797" s="3">
        <v>45503</v>
      </c>
      <c r="C797" s="3">
        <v>45503</v>
      </c>
      <c r="D797">
        <f t="shared" si="120"/>
        <v>0</v>
      </c>
      <c r="E797" t="s">
        <v>2459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2460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>
        <v>1</v>
      </c>
      <c r="X797" t="s">
        <v>2765</v>
      </c>
      <c r="Y797">
        <f t="shared" si="121"/>
        <v>0</v>
      </c>
      <c r="Z797">
        <f t="shared" si="122"/>
        <v>26051.94</v>
      </c>
      <c r="AA797">
        <f t="shared" si="123"/>
        <v>9168.3499999999985</v>
      </c>
      <c r="AB797" s="7">
        <f t="shared" si="124"/>
        <v>0.3519258066769691</v>
      </c>
      <c r="AC797" t="str">
        <f t="shared" si="125"/>
        <v>July</v>
      </c>
      <c r="AD797">
        <f t="shared" si="126"/>
        <v>2024</v>
      </c>
      <c r="AE797" t="str">
        <f t="shared" si="127"/>
        <v>Clean</v>
      </c>
      <c r="AF797" t="str">
        <f t="shared" si="128"/>
        <v>Match</v>
      </c>
      <c r="AG797" t="str">
        <f t="shared" si="129"/>
        <v>Match</v>
      </c>
    </row>
    <row r="798" spans="1:33">
      <c r="A798" t="s">
        <v>2461</v>
      </c>
      <c r="B798" s="3">
        <v>45374</v>
      </c>
      <c r="C798" s="3">
        <v>45381</v>
      </c>
      <c r="D798">
        <f t="shared" si="120"/>
        <v>7</v>
      </c>
      <c r="E798" t="s">
        <v>2462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2463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>
        <v>1</v>
      </c>
      <c r="X798" t="s">
        <v>2765</v>
      </c>
      <c r="Y798">
        <f t="shared" si="121"/>
        <v>0.15</v>
      </c>
      <c r="Z798">
        <f t="shared" si="122"/>
        <v>9661.6439999999984</v>
      </c>
      <c r="AA798">
        <f t="shared" si="123"/>
        <v>3357.873999999998</v>
      </c>
      <c r="AB798" s="7">
        <f t="shared" si="124"/>
        <v>0.34754685641491223</v>
      </c>
      <c r="AC798" t="str">
        <f t="shared" si="125"/>
        <v>March</v>
      </c>
      <c r="AD798">
        <f t="shared" si="126"/>
        <v>2024</v>
      </c>
      <c r="AE798" t="str">
        <f t="shared" si="127"/>
        <v>Clean</v>
      </c>
      <c r="AF798" t="str">
        <f t="shared" si="128"/>
        <v>Match</v>
      </c>
      <c r="AG798" t="str">
        <f t="shared" si="129"/>
        <v>Match</v>
      </c>
    </row>
    <row r="799" spans="1:33">
      <c r="A799" t="s">
        <v>2464</v>
      </c>
      <c r="B799" s="3">
        <v>45400</v>
      </c>
      <c r="C799" s="3">
        <v>45404</v>
      </c>
      <c r="D799">
        <f t="shared" si="120"/>
        <v>4</v>
      </c>
      <c r="E799" t="s">
        <v>2465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2466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>
        <v>1</v>
      </c>
      <c r="X799" t="s">
        <v>2765</v>
      </c>
      <c r="Y799">
        <f t="shared" si="121"/>
        <v>0</v>
      </c>
      <c r="Z799">
        <f t="shared" si="122"/>
        <v>13714.96</v>
      </c>
      <c r="AA799">
        <f t="shared" si="123"/>
        <v>3164.49</v>
      </c>
      <c r="AB799" s="7">
        <f t="shared" si="124"/>
        <v>0.23073271814135804</v>
      </c>
      <c r="AC799" t="str">
        <f t="shared" si="125"/>
        <v>April</v>
      </c>
      <c r="AD799">
        <f t="shared" si="126"/>
        <v>2024</v>
      </c>
      <c r="AE799" t="str">
        <f t="shared" si="127"/>
        <v>Clean</v>
      </c>
      <c r="AF799" t="str">
        <f t="shared" si="128"/>
        <v>Match</v>
      </c>
      <c r="AG799" t="str">
        <f t="shared" si="129"/>
        <v>Match</v>
      </c>
    </row>
    <row r="800" spans="1:33">
      <c r="A800" t="s">
        <v>2467</v>
      </c>
      <c r="B800" s="3">
        <v>45849</v>
      </c>
      <c r="C800" s="3">
        <v>45847</v>
      </c>
      <c r="D800">
        <f t="shared" si="120"/>
        <v>-2</v>
      </c>
      <c r="E800" t="s">
        <v>2468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2469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>
        <v>1</v>
      </c>
      <c r="X800" t="s">
        <v>2765</v>
      </c>
      <c r="Y800">
        <f t="shared" si="121"/>
        <v>0</v>
      </c>
      <c r="Z800">
        <f t="shared" si="122"/>
        <v>15354.449999999999</v>
      </c>
      <c r="AA800">
        <f t="shared" si="123"/>
        <v>5697.9499999999989</v>
      </c>
      <c r="AB800" s="7">
        <f t="shared" si="124"/>
        <v>0.37109437329243311</v>
      </c>
      <c r="AC800" t="str">
        <f t="shared" si="125"/>
        <v>July</v>
      </c>
      <c r="AD800">
        <f t="shared" si="126"/>
        <v>2025</v>
      </c>
      <c r="AE800" t="str">
        <f t="shared" si="127"/>
        <v>Invalid</v>
      </c>
      <c r="AF800" t="str">
        <f t="shared" si="128"/>
        <v>Match</v>
      </c>
      <c r="AG800" t="str">
        <f t="shared" si="129"/>
        <v>Match</v>
      </c>
    </row>
    <row r="801" spans="1:33">
      <c r="A801" t="s">
        <v>2470</v>
      </c>
      <c r="B801" s="3">
        <v>45575</v>
      </c>
      <c r="C801" s="3">
        <v>45582</v>
      </c>
      <c r="D801">
        <f t="shared" si="120"/>
        <v>7</v>
      </c>
      <c r="E801" t="s">
        <v>2471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2472</v>
      </c>
      <c r="N801" t="s">
        <v>2760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>
        <v>1</v>
      </c>
      <c r="X801" t="s">
        <v>2765</v>
      </c>
      <c r="Y801">
        <f t="shared" si="121"/>
        <v>0.05</v>
      </c>
      <c r="Z801">
        <f t="shared" si="122"/>
        <v>4595.1975000000002</v>
      </c>
      <c r="AA801">
        <f t="shared" si="123"/>
        <v>707.78750000000036</v>
      </c>
      <c r="AB801" s="7">
        <f t="shared" si="124"/>
        <v>0.15402765604742785</v>
      </c>
      <c r="AC801" t="str">
        <f t="shared" si="125"/>
        <v>October</v>
      </c>
      <c r="AD801">
        <f t="shared" si="126"/>
        <v>2024</v>
      </c>
      <c r="AE801" t="str">
        <f t="shared" si="127"/>
        <v>Clean</v>
      </c>
      <c r="AF801" t="str">
        <f t="shared" si="128"/>
        <v>Match</v>
      </c>
      <c r="AG801" t="str">
        <f t="shared" si="129"/>
        <v>Match</v>
      </c>
    </row>
    <row r="802" spans="1:33">
      <c r="A802" t="s">
        <v>2473</v>
      </c>
      <c r="B802" s="3">
        <v>45352</v>
      </c>
      <c r="C802" s="3">
        <v>45358</v>
      </c>
      <c r="D802">
        <f t="shared" si="120"/>
        <v>6</v>
      </c>
      <c r="E802" t="s">
        <v>2474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2475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>
        <v>1</v>
      </c>
      <c r="X802" t="s">
        <v>2765</v>
      </c>
      <c r="Y802">
        <f t="shared" si="121"/>
        <v>0.15</v>
      </c>
      <c r="Z802">
        <f t="shared" si="122"/>
        <v>21234.971999999998</v>
      </c>
      <c r="AA802">
        <f t="shared" si="123"/>
        <v>4498.8819999999978</v>
      </c>
      <c r="AB802" s="7">
        <f t="shared" si="124"/>
        <v>0.21186192286950029</v>
      </c>
      <c r="AC802" t="str">
        <f t="shared" si="125"/>
        <v>March</v>
      </c>
      <c r="AD802">
        <f t="shared" si="126"/>
        <v>2024</v>
      </c>
      <c r="AE802" t="str">
        <f t="shared" si="127"/>
        <v>Clean</v>
      </c>
      <c r="AF802" t="str">
        <f t="shared" si="128"/>
        <v>Match</v>
      </c>
      <c r="AG802" t="str">
        <f t="shared" si="129"/>
        <v>Match</v>
      </c>
    </row>
    <row r="803" spans="1:33">
      <c r="A803" t="s">
        <v>2476</v>
      </c>
      <c r="B803" s="3">
        <v>45938</v>
      </c>
      <c r="C803" s="3">
        <v>45945</v>
      </c>
      <c r="D803">
        <f t="shared" si="120"/>
        <v>7</v>
      </c>
      <c r="E803" t="s">
        <v>2477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2478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>
        <v>1</v>
      </c>
      <c r="X803" t="s">
        <v>2765</v>
      </c>
      <c r="Y803">
        <f t="shared" si="121"/>
        <v>0.2</v>
      </c>
      <c r="Z803">
        <f t="shared" si="122"/>
        <v>8093.304000000001</v>
      </c>
      <c r="AA803">
        <f t="shared" si="123"/>
        <v>2040.8740000000007</v>
      </c>
      <c r="AB803" s="7">
        <f t="shared" si="124"/>
        <v>0.25216821214179036</v>
      </c>
      <c r="AC803" t="str">
        <f t="shared" si="125"/>
        <v>October</v>
      </c>
      <c r="AD803">
        <f t="shared" si="126"/>
        <v>2025</v>
      </c>
      <c r="AE803" t="str">
        <f t="shared" si="127"/>
        <v>Clean</v>
      </c>
      <c r="AF803" t="str">
        <f t="shared" si="128"/>
        <v>Match</v>
      </c>
      <c r="AG803" t="str">
        <f t="shared" si="129"/>
        <v>Match</v>
      </c>
    </row>
    <row r="804" spans="1:33">
      <c r="A804" t="s">
        <v>2479</v>
      </c>
      <c r="B804" s="3">
        <v>45704</v>
      </c>
      <c r="C804" s="3">
        <v>45704</v>
      </c>
      <c r="D804">
        <f t="shared" si="120"/>
        <v>0</v>
      </c>
      <c r="E804" t="s">
        <v>2480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2481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>
        <v>1</v>
      </c>
      <c r="X804" t="s">
        <v>2765</v>
      </c>
      <c r="Y804">
        <f t="shared" si="121"/>
        <v>0</v>
      </c>
      <c r="Z804">
        <f t="shared" si="122"/>
        <v>8651.4600000000009</v>
      </c>
      <c r="AA804">
        <f t="shared" si="123"/>
        <v>3396.8400000000011</v>
      </c>
      <c r="AB804" s="7">
        <f t="shared" si="124"/>
        <v>0.39263199506210522</v>
      </c>
      <c r="AC804" t="str">
        <f t="shared" si="125"/>
        <v>February</v>
      </c>
      <c r="AD804">
        <f t="shared" si="126"/>
        <v>2025</v>
      </c>
      <c r="AE804" t="str">
        <f t="shared" si="127"/>
        <v>Clean</v>
      </c>
      <c r="AF804" t="str">
        <f t="shared" si="128"/>
        <v>Match</v>
      </c>
      <c r="AG804" t="str">
        <f t="shared" si="129"/>
        <v>Match</v>
      </c>
    </row>
    <row r="805" spans="1:33">
      <c r="A805" t="s">
        <v>2482</v>
      </c>
      <c r="B805" s="3">
        <v>45635</v>
      </c>
      <c r="C805" s="3">
        <v>45639</v>
      </c>
      <c r="D805">
        <f t="shared" si="120"/>
        <v>4</v>
      </c>
      <c r="E805" t="s">
        <v>2483</v>
      </c>
      <c r="F805" t="s">
        <v>141</v>
      </c>
      <c r="G805" t="s">
        <v>24</v>
      </c>
      <c r="H805" t="s">
        <v>2760</v>
      </c>
      <c r="I805" t="s">
        <v>228</v>
      </c>
      <c r="J805" t="s">
        <v>229</v>
      </c>
      <c r="K805" t="s">
        <v>28</v>
      </c>
      <c r="L805" t="s">
        <v>91</v>
      </c>
      <c r="M805" t="s">
        <v>2484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>
        <v>1</v>
      </c>
      <c r="X805" t="s">
        <v>2765</v>
      </c>
      <c r="Y805">
        <f t="shared" si="121"/>
        <v>0</v>
      </c>
      <c r="Z805">
        <f t="shared" si="122"/>
        <v>4306.6499999999996</v>
      </c>
      <c r="AA805">
        <f t="shared" si="123"/>
        <v>1737.8299999999995</v>
      </c>
      <c r="AB805" s="7">
        <f t="shared" si="124"/>
        <v>0.40352245945224235</v>
      </c>
      <c r="AC805" t="str">
        <f t="shared" si="125"/>
        <v>December</v>
      </c>
      <c r="AD805">
        <f t="shared" si="126"/>
        <v>2024</v>
      </c>
      <c r="AE805" t="str">
        <f t="shared" si="127"/>
        <v>Clean</v>
      </c>
      <c r="AF805" t="str">
        <f t="shared" si="128"/>
        <v>Match</v>
      </c>
      <c r="AG805" t="str">
        <f t="shared" si="129"/>
        <v>Match</v>
      </c>
    </row>
    <row r="806" spans="1:33">
      <c r="A806" t="s">
        <v>2485</v>
      </c>
      <c r="B806" s="3">
        <v>45910</v>
      </c>
      <c r="C806" s="3">
        <v>45918</v>
      </c>
      <c r="D806">
        <f t="shared" si="120"/>
        <v>8</v>
      </c>
      <c r="E806" t="s">
        <v>2486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2487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>
        <v>1</v>
      </c>
      <c r="X806" t="s">
        <v>2765</v>
      </c>
      <c r="Y806">
        <f t="shared" si="121"/>
        <v>0.05</v>
      </c>
      <c r="Z806">
        <f t="shared" si="122"/>
        <v>1948.0889999999997</v>
      </c>
      <c r="AA806">
        <f t="shared" si="123"/>
        <v>441.00899999999979</v>
      </c>
      <c r="AB806" s="7">
        <f t="shared" si="124"/>
        <v>0.22638031424642296</v>
      </c>
      <c r="AC806" t="str">
        <f t="shared" si="125"/>
        <v>September</v>
      </c>
      <c r="AD806">
        <f t="shared" si="126"/>
        <v>2025</v>
      </c>
      <c r="AE806" t="str">
        <f t="shared" si="127"/>
        <v>Clean</v>
      </c>
      <c r="AF806" t="str">
        <f t="shared" si="128"/>
        <v>Match</v>
      </c>
      <c r="AG806" t="str">
        <f t="shared" si="129"/>
        <v>Match</v>
      </c>
    </row>
    <row r="807" spans="1:33">
      <c r="A807" t="s">
        <v>2488</v>
      </c>
      <c r="B807" s="3">
        <v>45753</v>
      </c>
      <c r="C807" s="3">
        <v>45754</v>
      </c>
      <c r="D807">
        <f t="shared" si="120"/>
        <v>1</v>
      </c>
      <c r="E807" t="s">
        <v>2353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2489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>
        <v>1</v>
      </c>
      <c r="X807" t="s">
        <v>2765</v>
      </c>
      <c r="Y807">
        <f t="shared" si="121"/>
        <v>0.25</v>
      </c>
      <c r="Z807">
        <f t="shared" si="122"/>
        <v>3045.09</v>
      </c>
      <c r="AA807">
        <f t="shared" si="123"/>
        <v>444</v>
      </c>
      <c r="AB807" s="7">
        <f t="shared" si="124"/>
        <v>0.14580849827098705</v>
      </c>
      <c r="AC807" t="str">
        <f t="shared" si="125"/>
        <v>April</v>
      </c>
      <c r="AD807">
        <f t="shared" si="126"/>
        <v>2025</v>
      </c>
      <c r="AE807" t="str">
        <f t="shared" si="127"/>
        <v>Clean</v>
      </c>
      <c r="AF807" t="str">
        <f t="shared" si="128"/>
        <v>Match</v>
      </c>
      <c r="AG807" t="str">
        <f t="shared" si="129"/>
        <v>Match</v>
      </c>
    </row>
    <row r="808" spans="1:33">
      <c r="A808" t="s">
        <v>2490</v>
      </c>
      <c r="B808" s="3">
        <v>45605</v>
      </c>
      <c r="C808" s="3">
        <v>45611</v>
      </c>
      <c r="D808">
        <f t="shared" si="120"/>
        <v>6</v>
      </c>
      <c r="E808" t="s">
        <v>2491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2492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>
        <v>1</v>
      </c>
      <c r="X808" t="s">
        <v>2765</v>
      </c>
      <c r="Y808">
        <f t="shared" si="121"/>
        <v>0.2</v>
      </c>
      <c r="Z808">
        <f t="shared" si="122"/>
        <v>2932.7759999999998</v>
      </c>
      <c r="AA808">
        <f t="shared" si="123"/>
        <v>1032.4259999999999</v>
      </c>
      <c r="AB808" s="7">
        <f t="shared" si="124"/>
        <v>0.35203029484692999</v>
      </c>
      <c r="AC808" t="str">
        <f t="shared" si="125"/>
        <v>November</v>
      </c>
      <c r="AD808">
        <f t="shared" si="126"/>
        <v>2024</v>
      </c>
      <c r="AE808" t="str">
        <f t="shared" si="127"/>
        <v>Clean</v>
      </c>
      <c r="AF808" t="str">
        <f t="shared" si="128"/>
        <v>Match</v>
      </c>
      <c r="AG808" t="str">
        <f t="shared" si="129"/>
        <v>Match</v>
      </c>
    </row>
    <row r="809" spans="1:33">
      <c r="A809" t="s">
        <v>2493</v>
      </c>
      <c r="B809" s="3">
        <v>45695</v>
      </c>
      <c r="C809" s="3">
        <v>45696</v>
      </c>
      <c r="D809">
        <f t="shared" si="120"/>
        <v>1</v>
      </c>
      <c r="E809" t="s">
        <v>2494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2495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>
        <v>1</v>
      </c>
      <c r="X809" t="s">
        <v>2765</v>
      </c>
      <c r="Y809">
        <f t="shared" si="121"/>
        <v>0.1</v>
      </c>
      <c r="Z809">
        <f t="shared" si="122"/>
        <v>4379.3640000000005</v>
      </c>
      <c r="AA809">
        <f t="shared" si="123"/>
        <v>655.43400000000065</v>
      </c>
      <c r="AB809" s="7">
        <f t="shared" si="124"/>
        <v>0.14966419781502532</v>
      </c>
      <c r="AC809" t="str">
        <f t="shared" si="125"/>
        <v>February</v>
      </c>
      <c r="AD809">
        <f t="shared" si="126"/>
        <v>2025</v>
      </c>
      <c r="AE809" t="str">
        <f t="shared" si="127"/>
        <v>Clean</v>
      </c>
      <c r="AF809" t="str">
        <f t="shared" si="128"/>
        <v>Match</v>
      </c>
      <c r="AG809" t="str">
        <f t="shared" si="129"/>
        <v>Match</v>
      </c>
    </row>
    <row r="810" spans="1:33">
      <c r="A810" t="s">
        <v>2496</v>
      </c>
      <c r="B810" s="3">
        <v>45900</v>
      </c>
      <c r="C810" s="3">
        <v>45897</v>
      </c>
      <c r="D810">
        <f t="shared" si="120"/>
        <v>-3</v>
      </c>
      <c r="E810" t="s">
        <v>2497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2498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>
        <v>1</v>
      </c>
      <c r="X810" t="s">
        <v>2765</v>
      </c>
      <c r="Y810">
        <f t="shared" si="121"/>
        <v>0.2</v>
      </c>
      <c r="Z810">
        <f t="shared" si="122"/>
        <v>5472.768</v>
      </c>
      <c r="AA810">
        <f t="shared" si="123"/>
        <v>995.4380000000001</v>
      </c>
      <c r="AB810" s="7">
        <f t="shared" si="124"/>
        <v>0.18188931085695575</v>
      </c>
      <c r="AC810" t="str">
        <f t="shared" si="125"/>
        <v>August</v>
      </c>
      <c r="AD810">
        <f t="shared" si="126"/>
        <v>2025</v>
      </c>
      <c r="AE810" t="str">
        <f t="shared" si="127"/>
        <v>Invalid</v>
      </c>
      <c r="AF810" t="str">
        <f t="shared" si="128"/>
        <v>Match</v>
      </c>
      <c r="AG810" t="str">
        <f t="shared" si="129"/>
        <v>Match</v>
      </c>
    </row>
    <row r="811" spans="1:33">
      <c r="A811" t="s">
        <v>2499</v>
      </c>
      <c r="B811" s="3">
        <v>45833</v>
      </c>
      <c r="C811" s="3">
        <v>45833</v>
      </c>
      <c r="D811">
        <f t="shared" si="120"/>
        <v>0</v>
      </c>
      <c r="E811" t="s">
        <v>2500</v>
      </c>
      <c r="F811" t="s">
        <v>53</v>
      </c>
      <c r="G811" t="s">
        <v>37</v>
      </c>
      <c r="H811" t="s">
        <v>2760</v>
      </c>
      <c r="I811" t="s">
        <v>122</v>
      </c>
      <c r="J811" t="s">
        <v>123</v>
      </c>
      <c r="K811" t="s">
        <v>28</v>
      </c>
      <c r="L811" t="s">
        <v>153</v>
      </c>
      <c r="M811" t="s">
        <v>2501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>
        <v>1</v>
      </c>
      <c r="X811" t="s">
        <v>2765</v>
      </c>
      <c r="Y811">
        <f t="shared" si="121"/>
        <v>0.1</v>
      </c>
      <c r="Z811">
        <f t="shared" si="122"/>
        <v>7377.1020000000008</v>
      </c>
      <c r="AA811">
        <f t="shared" si="123"/>
        <v>2291.8920000000007</v>
      </c>
      <c r="AB811" s="7">
        <f t="shared" si="124"/>
        <v>0.31067646888981615</v>
      </c>
      <c r="AC811" t="str">
        <f t="shared" si="125"/>
        <v>June</v>
      </c>
      <c r="AD811">
        <f t="shared" si="126"/>
        <v>2025</v>
      </c>
      <c r="AE811" t="str">
        <f t="shared" si="127"/>
        <v>Clean</v>
      </c>
      <c r="AF811" t="str">
        <f t="shared" si="128"/>
        <v>Match</v>
      </c>
      <c r="AG811" t="str">
        <f t="shared" si="129"/>
        <v>Match</v>
      </c>
    </row>
    <row r="812" spans="1:33">
      <c r="A812" t="s">
        <v>2502</v>
      </c>
      <c r="B812" s="3">
        <v>45385</v>
      </c>
      <c r="C812" s="3">
        <v>45390</v>
      </c>
      <c r="D812">
        <f t="shared" si="120"/>
        <v>5</v>
      </c>
      <c r="E812" t="s">
        <v>1666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2503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>
        <v>1</v>
      </c>
      <c r="X812" t="s">
        <v>2765</v>
      </c>
      <c r="Y812">
        <f t="shared" si="121"/>
        <v>0.25</v>
      </c>
      <c r="Z812">
        <f t="shared" si="122"/>
        <v>2363.8874999999998</v>
      </c>
      <c r="AA812">
        <f t="shared" si="123"/>
        <v>892.37749999999983</v>
      </c>
      <c r="AB812" s="7">
        <f t="shared" si="124"/>
        <v>0.37750421710000998</v>
      </c>
      <c r="AC812" t="str">
        <f t="shared" si="125"/>
        <v>April</v>
      </c>
      <c r="AD812">
        <f t="shared" si="126"/>
        <v>2024</v>
      </c>
      <c r="AE812" t="str">
        <f t="shared" si="127"/>
        <v>Clean</v>
      </c>
      <c r="AF812" t="str">
        <f t="shared" si="128"/>
        <v>Match</v>
      </c>
      <c r="AG812" t="str">
        <f t="shared" si="129"/>
        <v>Match</v>
      </c>
    </row>
    <row r="813" spans="1:33">
      <c r="A813" t="s">
        <v>2504</v>
      </c>
      <c r="B813" s="3">
        <v>45638</v>
      </c>
      <c r="C813" s="3">
        <v>45645</v>
      </c>
      <c r="D813">
        <f t="shared" si="120"/>
        <v>7</v>
      </c>
      <c r="E813" t="s">
        <v>2505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2506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>
        <v>1</v>
      </c>
      <c r="X813" t="s">
        <v>2765</v>
      </c>
      <c r="Y813">
        <f t="shared" si="121"/>
        <v>0.2</v>
      </c>
      <c r="Z813">
        <f t="shared" si="122"/>
        <v>2577.2000000000003</v>
      </c>
      <c r="AA813">
        <f t="shared" si="123"/>
        <v>1101.3300000000004</v>
      </c>
      <c r="AB813" s="7">
        <f t="shared" si="124"/>
        <v>0.42733586838429316</v>
      </c>
      <c r="AC813" t="str">
        <f t="shared" si="125"/>
        <v>December</v>
      </c>
      <c r="AD813">
        <f t="shared" si="126"/>
        <v>2024</v>
      </c>
      <c r="AE813" t="str">
        <f t="shared" si="127"/>
        <v>Clean</v>
      </c>
      <c r="AF813" t="str">
        <f t="shared" si="128"/>
        <v>Match</v>
      </c>
      <c r="AG813" t="str">
        <f t="shared" si="129"/>
        <v>Match</v>
      </c>
    </row>
    <row r="814" spans="1:33">
      <c r="A814" t="s">
        <v>2507</v>
      </c>
      <c r="B814" s="3">
        <v>45458</v>
      </c>
      <c r="C814" s="3">
        <v>45463</v>
      </c>
      <c r="D814">
        <f t="shared" si="120"/>
        <v>5</v>
      </c>
      <c r="E814" t="s">
        <v>2508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2509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>
        <v>1</v>
      </c>
      <c r="X814" t="s">
        <v>2765</v>
      </c>
      <c r="Y814">
        <f t="shared" si="121"/>
        <v>0</v>
      </c>
      <c r="Z814">
        <f t="shared" si="122"/>
        <v>17827.759999999998</v>
      </c>
      <c r="AA814">
        <f t="shared" si="123"/>
        <v>3705.6299999999992</v>
      </c>
      <c r="AB814" s="7">
        <f t="shared" si="124"/>
        <v>0.20785729671029896</v>
      </c>
      <c r="AC814" t="str">
        <f t="shared" si="125"/>
        <v>June</v>
      </c>
      <c r="AD814">
        <f t="shared" si="126"/>
        <v>2024</v>
      </c>
      <c r="AE814" t="str">
        <f t="shared" si="127"/>
        <v>Clean</v>
      </c>
      <c r="AF814" t="str">
        <f t="shared" si="128"/>
        <v>Match</v>
      </c>
      <c r="AG814" t="str">
        <f t="shared" si="129"/>
        <v>Match</v>
      </c>
    </row>
    <row r="815" spans="1:33">
      <c r="A815" t="s">
        <v>2510</v>
      </c>
      <c r="B815" s="3">
        <v>45753</v>
      </c>
      <c r="C815" s="3">
        <v>45757</v>
      </c>
      <c r="D815">
        <f t="shared" si="120"/>
        <v>4</v>
      </c>
      <c r="E815" t="s">
        <v>2511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1121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>
        <v>1</v>
      </c>
      <c r="X815" t="s">
        <v>2765</v>
      </c>
      <c r="Y815">
        <f t="shared" si="121"/>
        <v>0</v>
      </c>
      <c r="Z815">
        <f t="shared" si="122"/>
        <v>2675.34</v>
      </c>
      <c r="AA815">
        <f t="shared" si="123"/>
        <v>1079.4700000000003</v>
      </c>
      <c r="AB815" s="7">
        <f t="shared" si="124"/>
        <v>0.40348890234512258</v>
      </c>
      <c r="AC815" t="str">
        <f t="shared" si="125"/>
        <v>April</v>
      </c>
      <c r="AD815">
        <f t="shared" si="126"/>
        <v>2025</v>
      </c>
      <c r="AE815" t="str">
        <f t="shared" si="127"/>
        <v>Clean</v>
      </c>
      <c r="AF815" t="str">
        <f t="shared" si="128"/>
        <v>Match</v>
      </c>
      <c r="AG815" t="str">
        <f t="shared" si="129"/>
        <v>Match</v>
      </c>
    </row>
    <row r="816" spans="1:33">
      <c r="A816" t="s">
        <v>2512</v>
      </c>
      <c r="B816" s="3">
        <v>45875</v>
      </c>
      <c r="C816" s="3">
        <v>45880</v>
      </c>
      <c r="D816">
        <f t="shared" si="120"/>
        <v>5</v>
      </c>
      <c r="E816" t="s">
        <v>2513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2514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>
        <v>1</v>
      </c>
      <c r="X816" t="s">
        <v>2765</v>
      </c>
      <c r="Y816">
        <f t="shared" si="121"/>
        <v>0.25</v>
      </c>
      <c r="Z816">
        <f t="shared" si="122"/>
        <v>3563.91</v>
      </c>
      <c r="AA816">
        <f t="shared" si="123"/>
        <v>924.21</v>
      </c>
      <c r="AB816" s="7">
        <f t="shared" si="124"/>
        <v>0.25932473042248544</v>
      </c>
      <c r="AC816" t="str">
        <f t="shared" si="125"/>
        <v>August</v>
      </c>
      <c r="AD816">
        <f t="shared" si="126"/>
        <v>2025</v>
      </c>
      <c r="AE816" t="str">
        <f t="shared" si="127"/>
        <v>Clean</v>
      </c>
      <c r="AF816" t="str">
        <f t="shared" si="128"/>
        <v>Match</v>
      </c>
      <c r="AG816" t="str">
        <f t="shared" si="129"/>
        <v>Match</v>
      </c>
    </row>
    <row r="817" spans="1:33">
      <c r="A817" t="s">
        <v>2515</v>
      </c>
      <c r="B817" s="3">
        <v>45383</v>
      </c>
      <c r="C817" s="3">
        <v>45390</v>
      </c>
      <c r="D817">
        <f t="shared" si="120"/>
        <v>7</v>
      </c>
      <c r="E817" t="s">
        <v>2516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2517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>
        <v>1</v>
      </c>
      <c r="X817" t="s">
        <v>2765</v>
      </c>
      <c r="Y817">
        <f t="shared" si="121"/>
        <v>0.15</v>
      </c>
      <c r="Z817">
        <f t="shared" si="122"/>
        <v>4259.0694999999996</v>
      </c>
      <c r="AA817">
        <f t="shared" si="123"/>
        <v>1128.7494999999994</v>
      </c>
      <c r="AB817" s="7">
        <f t="shared" si="124"/>
        <v>0.26502255950507486</v>
      </c>
      <c r="AC817" t="str">
        <f t="shared" si="125"/>
        <v>April</v>
      </c>
      <c r="AD817">
        <f t="shared" si="126"/>
        <v>2024</v>
      </c>
      <c r="AE817" t="str">
        <f t="shared" si="127"/>
        <v>Clean</v>
      </c>
      <c r="AF817" t="str">
        <f t="shared" si="128"/>
        <v>Match</v>
      </c>
      <c r="AG817" t="str">
        <f t="shared" si="129"/>
        <v>Match</v>
      </c>
    </row>
    <row r="818" spans="1:33">
      <c r="A818" t="s">
        <v>2518</v>
      </c>
      <c r="B818" s="3">
        <v>45623</v>
      </c>
      <c r="C818" s="3">
        <v>45626</v>
      </c>
      <c r="D818">
        <f t="shared" si="120"/>
        <v>3</v>
      </c>
      <c r="E818" t="s">
        <v>2519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2520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>
        <v>1</v>
      </c>
      <c r="X818" t="s">
        <v>2765</v>
      </c>
      <c r="Y818">
        <f t="shared" si="121"/>
        <v>0.1</v>
      </c>
      <c r="Z818">
        <f t="shared" si="122"/>
        <v>786.87</v>
      </c>
      <c r="AA818">
        <f t="shared" si="123"/>
        <v>288.37</v>
      </c>
      <c r="AB818" s="7">
        <f t="shared" si="124"/>
        <v>0.36647730883119195</v>
      </c>
      <c r="AC818" t="str">
        <f t="shared" si="125"/>
        <v>November</v>
      </c>
      <c r="AD818">
        <f t="shared" si="126"/>
        <v>2024</v>
      </c>
      <c r="AE818" t="str">
        <f t="shared" si="127"/>
        <v>Clean</v>
      </c>
      <c r="AF818" t="str">
        <f t="shared" si="128"/>
        <v>Match</v>
      </c>
      <c r="AG818" t="str">
        <f t="shared" si="129"/>
        <v>Match</v>
      </c>
    </row>
    <row r="819" spans="1:33">
      <c r="A819" t="s">
        <v>2521</v>
      </c>
      <c r="B819" s="3">
        <v>45752</v>
      </c>
      <c r="C819" s="3">
        <v>45752</v>
      </c>
      <c r="D819">
        <f t="shared" si="120"/>
        <v>0</v>
      </c>
      <c r="E819" t="s">
        <v>2522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2523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>
        <v>1</v>
      </c>
      <c r="X819" t="s">
        <v>2765</v>
      </c>
      <c r="Y819">
        <f t="shared" si="121"/>
        <v>0.25</v>
      </c>
      <c r="Z819">
        <f t="shared" si="122"/>
        <v>8233.6049999999996</v>
      </c>
      <c r="AA819">
        <f t="shared" si="123"/>
        <v>3519.8149999999996</v>
      </c>
      <c r="AB819" s="7">
        <f t="shared" si="124"/>
        <v>0.42749378917254349</v>
      </c>
      <c r="AC819" t="str">
        <f t="shared" si="125"/>
        <v>April</v>
      </c>
      <c r="AD819">
        <f t="shared" si="126"/>
        <v>2025</v>
      </c>
      <c r="AE819" t="str">
        <f t="shared" si="127"/>
        <v>Clean</v>
      </c>
      <c r="AF819" t="str">
        <f t="shared" si="128"/>
        <v>Match</v>
      </c>
      <c r="AG819" t="str">
        <f t="shared" si="129"/>
        <v>Match</v>
      </c>
    </row>
    <row r="820" spans="1:33">
      <c r="A820" t="s">
        <v>2524</v>
      </c>
      <c r="B820" s="3">
        <v>45564</v>
      </c>
      <c r="C820" s="3">
        <v>45570</v>
      </c>
      <c r="D820">
        <f t="shared" si="120"/>
        <v>6</v>
      </c>
      <c r="E820" t="s">
        <v>2525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2526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>
        <v>1</v>
      </c>
      <c r="X820" t="s">
        <v>2765</v>
      </c>
      <c r="Y820">
        <f t="shared" si="121"/>
        <v>-0.14000000000000001</v>
      </c>
      <c r="Z820">
        <f t="shared" si="122"/>
        <v>18067.084800000001</v>
      </c>
      <c r="AA820">
        <f t="shared" si="123"/>
        <v>7978.4348000000009</v>
      </c>
      <c r="AB820" s="7">
        <f t="shared" si="124"/>
        <v>0.44160056192352631</v>
      </c>
      <c r="AC820" t="str">
        <f t="shared" si="125"/>
        <v>September</v>
      </c>
      <c r="AD820">
        <f t="shared" si="126"/>
        <v>2024</v>
      </c>
      <c r="AE820" t="str">
        <f t="shared" si="127"/>
        <v>Invalid</v>
      </c>
      <c r="AF820" t="str">
        <f t="shared" si="128"/>
        <v>Mismatch</v>
      </c>
      <c r="AG820" t="str">
        <f t="shared" si="129"/>
        <v>Mismatch</v>
      </c>
    </row>
    <row r="821" spans="1:33">
      <c r="A821" t="s">
        <v>2527</v>
      </c>
      <c r="B821" s="3">
        <v>45504</v>
      </c>
      <c r="C821" s="3">
        <v>45504</v>
      </c>
      <c r="D821">
        <f t="shared" si="120"/>
        <v>0</v>
      </c>
      <c r="E821" t="s">
        <v>2528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2529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>
        <v>1</v>
      </c>
      <c r="X821" t="s">
        <v>2765</v>
      </c>
      <c r="Y821">
        <f t="shared" si="121"/>
        <v>0</v>
      </c>
      <c r="Z821">
        <f t="shared" si="122"/>
        <v>33968.080000000002</v>
      </c>
      <c r="AA821">
        <f t="shared" si="123"/>
        <v>7065.6400000000031</v>
      </c>
      <c r="AB821" s="7">
        <f t="shared" si="124"/>
        <v>0.20800822419165294</v>
      </c>
      <c r="AC821" t="str">
        <f t="shared" si="125"/>
        <v>July</v>
      </c>
      <c r="AD821">
        <f t="shared" si="126"/>
        <v>2024</v>
      </c>
      <c r="AE821" t="str">
        <f t="shared" si="127"/>
        <v>Clean</v>
      </c>
      <c r="AF821" t="str">
        <f t="shared" si="128"/>
        <v>Match</v>
      </c>
      <c r="AG821" t="str">
        <f t="shared" si="129"/>
        <v>Match</v>
      </c>
    </row>
    <row r="822" spans="1:33">
      <c r="A822" t="s">
        <v>2530</v>
      </c>
      <c r="B822" s="3">
        <v>45694</v>
      </c>
      <c r="C822" s="3">
        <v>45698</v>
      </c>
      <c r="D822">
        <f t="shared" si="120"/>
        <v>4</v>
      </c>
      <c r="E822" t="s">
        <v>2531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2532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>
        <v>1</v>
      </c>
      <c r="X822" t="s">
        <v>2765</v>
      </c>
      <c r="Y822">
        <f t="shared" si="121"/>
        <v>0.2</v>
      </c>
      <c r="Z822">
        <f t="shared" si="122"/>
        <v>511.31200000000001</v>
      </c>
      <c r="AA822">
        <f t="shared" si="123"/>
        <v>74.882000000000005</v>
      </c>
      <c r="AB822" s="7">
        <f t="shared" si="124"/>
        <v>0.14645069937728825</v>
      </c>
      <c r="AC822" t="str">
        <f t="shared" si="125"/>
        <v>February</v>
      </c>
      <c r="AD822">
        <f t="shared" si="126"/>
        <v>2025</v>
      </c>
      <c r="AE822" t="str">
        <f t="shared" si="127"/>
        <v>Clean</v>
      </c>
      <c r="AF822" t="str">
        <f t="shared" si="128"/>
        <v>Match</v>
      </c>
      <c r="AG822" t="str">
        <f t="shared" si="129"/>
        <v>Match</v>
      </c>
    </row>
    <row r="823" spans="1:33">
      <c r="A823" t="s">
        <v>2533</v>
      </c>
      <c r="B823" s="3">
        <v>45476</v>
      </c>
      <c r="C823" s="3">
        <v>45479</v>
      </c>
      <c r="D823">
        <f t="shared" si="120"/>
        <v>3</v>
      </c>
      <c r="E823" t="s">
        <v>2534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2535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>
        <v>1</v>
      </c>
      <c r="X823" t="s">
        <v>2765</v>
      </c>
      <c r="Y823">
        <f t="shared" si="121"/>
        <v>0.2</v>
      </c>
      <c r="Z823">
        <f t="shared" si="122"/>
        <v>10877.944000000001</v>
      </c>
      <c r="AA823">
        <f t="shared" si="123"/>
        <v>1767.8040000000019</v>
      </c>
      <c r="AB823" s="7">
        <f t="shared" si="124"/>
        <v>0.16251269541376584</v>
      </c>
      <c r="AC823" t="str">
        <f t="shared" si="125"/>
        <v>July</v>
      </c>
      <c r="AD823">
        <f t="shared" si="126"/>
        <v>2024</v>
      </c>
      <c r="AE823" t="str">
        <f t="shared" si="127"/>
        <v>Clean</v>
      </c>
      <c r="AF823" t="str">
        <f t="shared" si="128"/>
        <v>Match</v>
      </c>
      <c r="AG823" t="str">
        <f t="shared" si="129"/>
        <v>Match</v>
      </c>
    </row>
    <row r="824" spans="1:33">
      <c r="A824" t="s">
        <v>2536</v>
      </c>
      <c r="B824" s="3">
        <v>45577</v>
      </c>
      <c r="C824" s="3">
        <v>45573</v>
      </c>
      <c r="D824">
        <f t="shared" si="120"/>
        <v>-4</v>
      </c>
      <c r="E824" t="s">
        <v>2537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2538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>
        <v>1</v>
      </c>
      <c r="X824" t="s">
        <v>2765</v>
      </c>
      <c r="Y824">
        <f t="shared" si="121"/>
        <v>0.2</v>
      </c>
      <c r="Z824">
        <f t="shared" si="122"/>
        <v>10246.528</v>
      </c>
      <c r="AA824">
        <f t="shared" si="123"/>
        <v>1612.1080000000002</v>
      </c>
      <c r="AB824" s="7">
        <f t="shared" si="124"/>
        <v>0.15733212264681268</v>
      </c>
      <c r="AC824" t="str">
        <f t="shared" si="125"/>
        <v>October</v>
      </c>
      <c r="AD824">
        <f t="shared" si="126"/>
        <v>2024</v>
      </c>
      <c r="AE824" t="str">
        <f t="shared" si="127"/>
        <v>Invalid</v>
      </c>
      <c r="AF824" t="str">
        <f t="shared" si="128"/>
        <v>Match</v>
      </c>
      <c r="AG824" t="str">
        <f t="shared" si="129"/>
        <v>Match</v>
      </c>
    </row>
    <row r="825" spans="1:33">
      <c r="A825" t="s">
        <v>2539</v>
      </c>
      <c r="B825" s="3">
        <v>45663</v>
      </c>
      <c r="C825" s="3">
        <v>45669</v>
      </c>
      <c r="D825">
        <f t="shared" si="120"/>
        <v>6</v>
      </c>
      <c r="E825" t="s">
        <v>2540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2541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>
        <v>1</v>
      </c>
      <c r="X825" t="s">
        <v>2765</v>
      </c>
      <c r="Y825">
        <f t="shared" si="121"/>
        <v>0.15</v>
      </c>
      <c r="Z825">
        <f t="shared" si="122"/>
        <v>1704.2415000000001</v>
      </c>
      <c r="AA825">
        <f t="shared" si="123"/>
        <v>746.69150000000013</v>
      </c>
      <c r="AB825" s="7">
        <f t="shared" si="124"/>
        <v>0.43813714194848563</v>
      </c>
      <c r="AC825" t="str">
        <f t="shared" si="125"/>
        <v>January</v>
      </c>
      <c r="AD825">
        <f t="shared" si="126"/>
        <v>2025</v>
      </c>
      <c r="AE825" t="str">
        <f t="shared" si="127"/>
        <v>Clean</v>
      </c>
      <c r="AF825" t="str">
        <f t="shared" si="128"/>
        <v>Match</v>
      </c>
      <c r="AG825" t="str">
        <f t="shared" si="129"/>
        <v>Match</v>
      </c>
    </row>
    <row r="826" spans="1:33">
      <c r="A826" t="s">
        <v>2542</v>
      </c>
      <c r="B826" s="3">
        <v>45737</v>
      </c>
      <c r="C826" s="3">
        <v>45738</v>
      </c>
      <c r="D826">
        <f t="shared" si="120"/>
        <v>1</v>
      </c>
      <c r="E826" t="s">
        <v>2543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2544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>
        <v>1</v>
      </c>
      <c r="X826" t="s">
        <v>2765</v>
      </c>
      <c r="Y826">
        <f t="shared" si="121"/>
        <v>0.05</v>
      </c>
      <c r="Z826">
        <f t="shared" si="122"/>
        <v>33719.223999999995</v>
      </c>
      <c r="AA826">
        <f t="shared" si="123"/>
        <v>4794.7939999999944</v>
      </c>
      <c r="AB826" s="7">
        <f t="shared" si="124"/>
        <v>0.14219763776295669</v>
      </c>
      <c r="AC826" t="str">
        <f t="shared" si="125"/>
        <v>March</v>
      </c>
      <c r="AD826">
        <f t="shared" si="126"/>
        <v>2025</v>
      </c>
      <c r="AE826" t="str">
        <f t="shared" si="127"/>
        <v>Clean</v>
      </c>
      <c r="AF826" t="str">
        <f t="shared" si="128"/>
        <v>Match</v>
      </c>
      <c r="AG826" t="str">
        <f t="shared" si="129"/>
        <v>Match</v>
      </c>
    </row>
    <row r="827" spans="1:33">
      <c r="A827" t="s">
        <v>2545</v>
      </c>
      <c r="B827" s="3">
        <v>45763</v>
      </c>
      <c r="C827" s="3">
        <v>45764</v>
      </c>
      <c r="D827">
        <f t="shared" si="120"/>
        <v>1</v>
      </c>
      <c r="E827" t="s">
        <v>2546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2547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>
        <v>1</v>
      </c>
      <c r="X827" t="s">
        <v>2765</v>
      </c>
      <c r="Y827">
        <f t="shared" si="121"/>
        <v>0</v>
      </c>
      <c r="Z827">
        <f t="shared" si="122"/>
        <v>2720.17</v>
      </c>
      <c r="AA827">
        <f t="shared" si="123"/>
        <v>885.94</v>
      </c>
      <c r="AB827" s="7">
        <f t="shared" si="124"/>
        <v>0.3256928794891496</v>
      </c>
      <c r="AC827" t="str">
        <f t="shared" si="125"/>
        <v>April</v>
      </c>
      <c r="AD827">
        <f t="shared" si="126"/>
        <v>2025</v>
      </c>
      <c r="AE827" t="str">
        <f t="shared" si="127"/>
        <v>Clean</v>
      </c>
      <c r="AF827" t="str">
        <f t="shared" si="128"/>
        <v>Match</v>
      </c>
      <c r="AG827" t="str">
        <f t="shared" si="129"/>
        <v>Match</v>
      </c>
    </row>
    <row r="828" spans="1:33">
      <c r="A828" t="s">
        <v>2548</v>
      </c>
      <c r="B828" s="3">
        <v>45879</v>
      </c>
      <c r="C828" s="3">
        <v>45883</v>
      </c>
      <c r="D828">
        <f t="shared" si="120"/>
        <v>4</v>
      </c>
      <c r="E828" t="s">
        <v>2549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2550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>
        <v>1</v>
      </c>
      <c r="X828" t="s">
        <v>2765</v>
      </c>
      <c r="Y828">
        <f t="shared" si="121"/>
        <v>0.25</v>
      </c>
      <c r="Z828">
        <f t="shared" si="122"/>
        <v>8213.0249999999996</v>
      </c>
      <c r="AA828">
        <f t="shared" si="123"/>
        <v>2643.7249999999995</v>
      </c>
      <c r="AB828" s="7">
        <f t="shared" si="124"/>
        <v>0.32189418636860345</v>
      </c>
      <c r="AC828" t="str">
        <f t="shared" si="125"/>
        <v>August</v>
      </c>
      <c r="AD828">
        <f t="shared" si="126"/>
        <v>2025</v>
      </c>
      <c r="AE828" t="str">
        <f t="shared" si="127"/>
        <v>Clean</v>
      </c>
      <c r="AF828" t="str">
        <f t="shared" si="128"/>
        <v>Match</v>
      </c>
      <c r="AG828" t="str">
        <f t="shared" si="129"/>
        <v>Match</v>
      </c>
    </row>
    <row r="829" spans="1:33">
      <c r="A829" t="s">
        <v>2551</v>
      </c>
      <c r="B829" s="3">
        <v>45620</v>
      </c>
      <c r="C829" s="3">
        <v>45627</v>
      </c>
      <c r="D829">
        <f t="shared" si="120"/>
        <v>7</v>
      </c>
      <c r="E829" t="s">
        <v>2552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2553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>
        <v>1</v>
      </c>
      <c r="X829" t="s">
        <v>2765</v>
      </c>
      <c r="Y829">
        <f t="shared" si="121"/>
        <v>0.25</v>
      </c>
      <c r="Z829">
        <f t="shared" si="122"/>
        <v>633.66750000000002</v>
      </c>
      <c r="AA829">
        <f t="shared" si="123"/>
        <v>113.19749999999999</v>
      </c>
      <c r="AB829" s="7">
        <f t="shared" si="124"/>
        <v>0.17863863934950111</v>
      </c>
      <c r="AC829" t="str">
        <f t="shared" si="125"/>
        <v>November</v>
      </c>
      <c r="AD829">
        <f t="shared" si="126"/>
        <v>2024</v>
      </c>
      <c r="AE829" t="str">
        <f t="shared" si="127"/>
        <v>Clean</v>
      </c>
      <c r="AF829" t="str">
        <f t="shared" si="128"/>
        <v>Match</v>
      </c>
      <c r="AG829" t="str">
        <f t="shared" si="129"/>
        <v>Match</v>
      </c>
    </row>
    <row r="830" spans="1:33">
      <c r="A830" t="s">
        <v>2554</v>
      </c>
      <c r="B830" s="3">
        <v>45940</v>
      </c>
      <c r="C830" s="3">
        <v>45941</v>
      </c>
      <c r="D830">
        <f t="shared" si="120"/>
        <v>1</v>
      </c>
      <c r="E830" t="s">
        <v>2555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2556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>
        <v>1</v>
      </c>
      <c r="X830" t="s">
        <v>2765</v>
      </c>
      <c r="Y830">
        <f t="shared" si="121"/>
        <v>0.05</v>
      </c>
      <c r="Z830">
        <f t="shared" si="122"/>
        <v>25216.534</v>
      </c>
      <c r="AA830">
        <f t="shared" si="123"/>
        <v>10999.593999999999</v>
      </c>
      <c r="AB830" s="7">
        <f t="shared" si="124"/>
        <v>0.4362056260388521</v>
      </c>
      <c r="AC830" t="str">
        <f t="shared" si="125"/>
        <v>October</v>
      </c>
      <c r="AD830">
        <f t="shared" si="126"/>
        <v>2025</v>
      </c>
      <c r="AE830" t="str">
        <f t="shared" si="127"/>
        <v>Clean</v>
      </c>
      <c r="AF830" t="str">
        <f t="shared" si="128"/>
        <v>Match</v>
      </c>
      <c r="AG830" t="str">
        <f t="shared" si="129"/>
        <v>Match</v>
      </c>
    </row>
    <row r="831" spans="1:33">
      <c r="A831" t="s">
        <v>2557</v>
      </c>
      <c r="B831" s="3">
        <v>45348</v>
      </c>
      <c r="C831" s="3">
        <v>45350</v>
      </c>
      <c r="D831">
        <f t="shared" si="120"/>
        <v>2</v>
      </c>
      <c r="E831" t="s">
        <v>2558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2559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>
        <v>1</v>
      </c>
      <c r="X831" t="s">
        <v>2765</v>
      </c>
      <c r="Y831">
        <f t="shared" si="121"/>
        <v>0.1</v>
      </c>
      <c r="Z831">
        <f t="shared" si="122"/>
        <v>6521.3820000000005</v>
      </c>
      <c r="AA831">
        <f t="shared" si="123"/>
        <v>2010.2820000000002</v>
      </c>
      <c r="AB831" s="7">
        <f t="shared" si="124"/>
        <v>0.30826012032418892</v>
      </c>
      <c r="AC831" t="str">
        <f t="shared" si="125"/>
        <v>February</v>
      </c>
      <c r="AD831">
        <f t="shared" si="126"/>
        <v>2024</v>
      </c>
      <c r="AE831" t="str">
        <f t="shared" si="127"/>
        <v>Clean</v>
      </c>
      <c r="AF831" t="str">
        <f t="shared" si="128"/>
        <v>Match</v>
      </c>
      <c r="AG831" t="str">
        <f t="shared" si="129"/>
        <v>Match</v>
      </c>
    </row>
    <row r="832" spans="1:33">
      <c r="A832" t="s">
        <v>2560</v>
      </c>
      <c r="B832" s="3">
        <v>45853</v>
      </c>
      <c r="C832" s="3">
        <v>45856</v>
      </c>
      <c r="D832">
        <f t="shared" si="120"/>
        <v>3</v>
      </c>
      <c r="E832" t="s">
        <v>2561</v>
      </c>
      <c r="F832" t="s">
        <v>89</v>
      </c>
      <c r="G832" t="s">
        <v>37</v>
      </c>
      <c r="H832" t="s">
        <v>2760</v>
      </c>
      <c r="I832" t="s">
        <v>247</v>
      </c>
      <c r="J832" t="s">
        <v>248</v>
      </c>
      <c r="K832" t="s">
        <v>74</v>
      </c>
      <c r="L832" t="s">
        <v>274</v>
      </c>
      <c r="M832" t="s">
        <v>2562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>
        <v>1</v>
      </c>
      <c r="X832" t="s">
        <v>2765</v>
      </c>
      <c r="Y832">
        <f t="shared" si="121"/>
        <v>0.1</v>
      </c>
      <c r="Z832">
        <f t="shared" si="122"/>
        <v>12867.552000000001</v>
      </c>
      <c r="AA832">
        <f t="shared" si="123"/>
        <v>2798.612000000001</v>
      </c>
      <c r="AB832" s="7">
        <f t="shared" si="124"/>
        <v>0.21749373929089236</v>
      </c>
      <c r="AC832" t="str">
        <f t="shared" si="125"/>
        <v>July</v>
      </c>
      <c r="AD832">
        <f t="shared" si="126"/>
        <v>2025</v>
      </c>
      <c r="AE832" t="str">
        <f t="shared" si="127"/>
        <v>Clean</v>
      </c>
      <c r="AF832" t="str">
        <f t="shared" si="128"/>
        <v>Match</v>
      </c>
      <c r="AG832" t="str">
        <f t="shared" si="129"/>
        <v>Match</v>
      </c>
    </row>
    <row r="833" spans="1:33">
      <c r="A833" t="s">
        <v>2563</v>
      </c>
      <c r="B833" s="3">
        <v>45750</v>
      </c>
      <c r="C833" s="3">
        <v>45750</v>
      </c>
      <c r="D833">
        <f t="shared" si="120"/>
        <v>0</v>
      </c>
      <c r="E833" t="s">
        <v>2564</v>
      </c>
      <c r="F833" t="s">
        <v>162</v>
      </c>
      <c r="G833" t="s">
        <v>95</v>
      </c>
      <c r="H833" t="s">
        <v>2760</v>
      </c>
      <c r="I833" t="s">
        <v>236</v>
      </c>
      <c r="J833" t="s">
        <v>237</v>
      </c>
      <c r="K833" t="s">
        <v>41</v>
      </c>
      <c r="L833" t="s">
        <v>66</v>
      </c>
      <c r="M833" t="s">
        <v>2565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>
        <v>1</v>
      </c>
      <c r="X833" t="s">
        <v>2765</v>
      </c>
      <c r="Y833">
        <f t="shared" si="121"/>
        <v>0.15</v>
      </c>
      <c r="Z833">
        <f t="shared" si="122"/>
        <v>26489.654999999999</v>
      </c>
      <c r="AA833">
        <f t="shared" si="123"/>
        <v>10671.195</v>
      </c>
      <c r="AB833" s="7">
        <f t="shared" si="124"/>
        <v>0.40284386489744772</v>
      </c>
      <c r="AC833" t="str">
        <f t="shared" si="125"/>
        <v>April</v>
      </c>
      <c r="AD833">
        <f t="shared" si="126"/>
        <v>2025</v>
      </c>
      <c r="AE833" t="str">
        <f t="shared" si="127"/>
        <v>Clean</v>
      </c>
      <c r="AF833" t="str">
        <f t="shared" si="128"/>
        <v>Match</v>
      </c>
      <c r="AG833" t="str">
        <f t="shared" si="129"/>
        <v>Match</v>
      </c>
    </row>
    <row r="834" spans="1:33">
      <c r="A834" t="s">
        <v>2566</v>
      </c>
      <c r="B834" s="3">
        <v>45803</v>
      </c>
      <c r="C834" s="3">
        <v>45805</v>
      </c>
      <c r="D834">
        <f t="shared" ref="D834:D897" si="130">C834-B834</f>
        <v>2</v>
      </c>
      <c r="E834" t="s">
        <v>2567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2568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>
        <v>1</v>
      </c>
      <c r="X834" t="s">
        <v>2765</v>
      </c>
      <c r="Y834">
        <f t="shared" si="121"/>
        <v>0.05</v>
      </c>
      <c r="Z834">
        <f t="shared" si="122"/>
        <v>36782.271000000008</v>
      </c>
      <c r="AA834">
        <f t="shared" si="123"/>
        <v>10879.461000000007</v>
      </c>
      <c r="AB834" s="7">
        <f t="shared" si="124"/>
        <v>0.29578002402298664</v>
      </c>
      <c r="AC834" t="str">
        <f t="shared" si="125"/>
        <v>May</v>
      </c>
      <c r="AD834">
        <f t="shared" si="126"/>
        <v>2025</v>
      </c>
      <c r="AE834" t="str">
        <f t="shared" si="127"/>
        <v>Clean</v>
      </c>
      <c r="AF834" t="str">
        <f t="shared" si="128"/>
        <v>Match</v>
      </c>
      <c r="AG834" t="str">
        <f t="shared" si="129"/>
        <v>Match</v>
      </c>
    </row>
    <row r="835" spans="1:33">
      <c r="A835" t="s">
        <v>2569</v>
      </c>
      <c r="B835" s="3">
        <v>45447</v>
      </c>
      <c r="C835" s="3">
        <v>45447</v>
      </c>
      <c r="D835">
        <f t="shared" si="130"/>
        <v>0</v>
      </c>
      <c r="E835" t="s">
        <v>2570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2571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>
        <v>1</v>
      </c>
      <c r="X835" t="s">
        <v>2765</v>
      </c>
      <c r="Y835">
        <f t="shared" ref="Y835:Y898" si="131">IF(
Q835="",
0,
IF(Q835&gt;1,
Q835/100,
Q835)
)</f>
        <v>0</v>
      </c>
      <c r="Z835">
        <f t="shared" ref="Z835:Z898" si="132">O835*P835*(1-Y835)</f>
        <v>23696.400000000001</v>
      </c>
      <c r="AA835">
        <f t="shared" ref="AA835:AA898" si="133">Z835-S835</f>
        <v>5586.630000000001</v>
      </c>
      <c r="AB835" s="7">
        <f t="shared" ref="AB835:AB898" si="134">IF(Z835=0,0,
AA835/Z835)</f>
        <v>0.23575859624246723</v>
      </c>
      <c r="AC835" t="str">
        <f t="shared" ref="AC835:AC898" si="135">TEXT(B835,"mmmm")</f>
        <v>June</v>
      </c>
      <c r="AD835">
        <f t="shared" ref="AD835:AD898" si="136">YEAR(B835)</f>
        <v>2024</v>
      </c>
      <c r="AE835" t="str">
        <f t="shared" ref="AE835:AE898" si="137">IF(
OR(
Y835&lt;0,
D835&lt;0
),
"Invalid",
IF(
X835="Review Required",
"Warning",
"Clean"
)
)</f>
        <v>Clean</v>
      </c>
      <c r="AF835" t="str">
        <f t="shared" ref="AF835:AF898" si="138">IF(ABS(R835-Z835)&gt;0.01,
"Mismatch",
"Match")</f>
        <v>Match</v>
      </c>
      <c r="AG835" t="str">
        <f t="shared" ref="AG835:AG898" si="139">IF(ABS(T835-AA835)&gt;0.01,
"Mismatch",
"Match")</f>
        <v>Match</v>
      </c>
    </row>
    <row r="836" spans="1:33">
      <c r="A836" t="s">
        <v>2572</v>
      </c>
      <c r="B836" s="3">
        <v>45583</v>
      </c>
      <c r="C836" s="3">
        <v>45587</v>
      </c>
      <c r="D836">
        <f t="shared" si="130"/>
        <v>4</v>
      </c>
      <c r="E836" t="s">
        <v>2573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2574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>
        <v>1</v>
      </c>
      <c r="X836" t="s">
        <v>2765</v>
      </c>
      <c r="Y836">
        <f t="shared" si="131"/>
        <v>0</v>
      </c>
      <c r="Z836">
        <f t="shared" si="132"/>
        <v>4047.66</v>
      </c>
      <c r="AA836">
        <f t="shared" si="133"/>
        <v>968.73</v>
      </c>
      <c r="AB836" s="7">
        <f t="shared" si="134"/>
        <v>0.23933087265234729</v>
      </c>
      <c r="AC836" t="str">
        <f t="shared" si="135"/>
        <v>October</v>
      </c>
      <c r="AD836">
        <f t="shared" si="136"/>
        <v>2024</v>
      </c>
      <c r="AE836" t="str">
        <f t="shared" si="137"/>
        <v>Clean</v>
      </c>
      <c r="AF836" t="str">
        <f t="shared" si="138"/>
        <v>Match</v>
      </c>
      <c r="AG836" t="str">
        <f t="shared" si="139"/>
        <v>Mismatch</v>
      </c>
    </row>
    <row r="837" spans="1:33">
      <c r="A837" t="s">
        <v>2575</v>
      </c>
      <c r="B837" s="3">
        <v>45926</v>
      </c>
      <c r="C837" s="3">
        <v>45934</v>
      </c>
      <c r="D837">
        <f t="shared" si="130"/>
        <v>8</v>
      </c>
      <c r="E837" t="s">
        <v>2576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2577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>
        <v>1</v>
      </c>
      <c r="X837" t="s">
        <v>2765</v>
      </c>
      <c r="Y837">
        <f t="shared" si="131"/>
        <v>0.05</v>
      </c>
      <c r="Z837">
        <f t="shared" si="132"/>
        <v>10038.773499999999</v>
      </c>
      <c r="AA837">
        <f t="shared" si="133"/>
        <v>4365.673499999999</v>
      </c>
      <c r="AB837" s="7">
        <f t="shared" si="134"/>
        <v>0.43488116352062323</v>
      </c>
      <c r="AC837" t="str">
        <f t="shared" si="135"/>
        <v>September</v>
      </c>
      <c r="AD837">
        <f t="shared" si="136"/>
        <v>2025</v>
      </c>
      <c r="AE837" t="str">
        <f t="shared" si="137"/>
        <v>Clean</v>
      </c>
      <c r="AF837" t="str">
        <f t="shared" si="138"/>
        <v>Match</v>
      </c>
      <c r="AG837" t="str">
        <f t="shared" si="139"/>
        <v>Match</v>
      </c>
    </row>
    <row r="838" spans="1:33">
      <c r="A838" t="s">
        <v>2578</v>
      </c>
      <c r="B838" s="3">
        <v>45641</v>
      </c>
      <c r="C838" s="3">
        <v>45644</v>
      </c>
      <c r="D838">
        <f t="shared" si="130"/>
        <v>3</v>
      </c>
      <c r="E838" t="s">
        <v>2579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2580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>
        <v>1</v>
      </c>
      <c r="X838" t="s">
        <v>2765</v>
      </c>
      <c r="Y838">
        <f t="shared" si="131"/>
        <v>0</v>
      </c>
      <c r="Z838">
        <f t="shared" si="132"/>
        <v>1074.22</v>
      </c>
      <c r="AA838">
        <f t="shared" si="133"/>
        <v>223.36</v>
      </c>
      <c r="AB838" s="7">
        <f t="shared" si="134"/>
        <v>0.20792761259332354</v>
      </c>
      <c r="AC838" t="str">
        <f t="shared" si="135"/>
        <v>December</v>
      </c>
      <c r="AD838">
        <f t="shared" si="136"/>
        <v>2024</v>
      </c>
      <c r="AE838" t="str">
        <f t="shared" si="137"/>
        <v>Clean</v>
      </c>
      <c r="AF838" t="str">
        <f t="shared" si="138"/>
        <v>Match</v>
      </c>
      <c r="AG838" t="str">
        <f t="shared" si="139"/>
        <v>Match</v>
      </c>
    </row>
    <row r="839" spans="1:33">
      <c r="A839" t="s">
        <v>2581</v>
      </c>
      <c r="B839" s="3">
        <v>45927</v>
      </c>
      <c r="C839" s="3">
        <v>45928</v>
      </c>
      <c r="D839">
        <f t="shared" si="130"/>
        <v>1</v>
      </c>
      <c r="E839" t="s">
        <v>2582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2583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>
        <v>1</v>
      </c>
      <c r="X839" t="s">
        <v>2765</v>
      </c>
      <c r="Y839">
        <f t="shared" si="131"/>
        <v>0.25</v>
      </c>
      <c r="Z839">
        <f t="shared" si="132"/>
        <v>9399.6674999999996</v>
      </c>
      <c r="AA839">
        <f t="shared" si="133"/>
        <v>2859.2974999999997</v>
      </c>
      <c r="AB839" s="7">
        <f t="shared" si="134"/>
        <v>0.30419134506619516</v>
      </c>
      <c r="AC839" t="str">
        <f t="shared" si="135"/>
        <v>September</v>
      </c>
      <c r="AD839">
        <f t="shared" si="136"/>
        <v>2025</v>
      </c>
      <c r="AE839" t="str">
        <f t="shared" si="137"/>
        <v>Clean</v>
      </c>
      <c r="AF839" t="str">
        <f t="shared" si="138"/>
        <v>Match</v>
      </c>
      <c r="AG839" t="str">
        <f t="shared" si="139"/>
        <v>Match</v>
      </c>
    </row>
    <row r="840" spans="1:33">
      <c r="A840" t="s">
        <v>2584</v>
      </c>
      <c r="B840" s="3">
        <v>45750</v>
      </c>
      <c r="C840" s="3">
        <v>45754</v>
      </c>
      <c r="D840">
        <f t="shared" si="130"/>
        <v>4</v>
      </c>
      <c r="E840" t="s">
        <v>2585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2586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>
        <v>1</v>
      </c>
      <c r="X840" t="s">
        <v>2765</v>
      </c>
      <c r="Y840">
        <f t="shared" si="131"/>
        <v>0</v>
      </c>
      <c r="Z840">
        <f t="shared" si="132"/>
        <v>1470.57</v>
      </c>
      <c r="AA840">
        <f t="shared" si="133"/>
        <v>636.54999999999995</v>
      </c>
      <c r="AB840" s="7">
        <f t="shared" si="134"/>
        <v>0.43285936745615644</v>
      </c>
      <c r="AC840" t="str">
        <f t="shared" si="135"/>
        <v>April</v>
      </c>
      <c r="AD840">
        <f t="shared" si="136"/>
        <v>2025</v>
      </c>
      <c r="AE840" t="str">
        <f t="shared" si="137"/>
        <v>Clean</v>
      </c>
      <c r="AF840" t="str">
        <f t="shared" si="138"/>
        <v>Match</v>
      </c>
      <c r="AG840" t="str">
        <f t="shared" si="139"/>
        <v>Match</v>
      </c>
    </row>
    <row r="841" spans="1:33">
      <c r="A841" t="s">
        <v>2587</v>
      </c>
      <c r="B841" s="3">
        <v>45555</v>
      </c>
      <c r="C841" s="3">
        <v>45557</v>
      </c>
      <c r="D841">
        <f t="shared" si="130"/>
        <v>2</v>
      </c>
      <c r="E841" t="s">
        <v>2588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2589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>
        <v>1</v>
      </c>
      <c r="X841" t="s">
        <v>2765</v>
      </c>
      <c r="Y841">
        <f t="shared" si="131"/>
        <v>0.1</v>
      </c>
      <c r="Z841">
        <f t="shared" si="132"/>
        <v>3826.2959999999998</v>
      </c>
      <c r="AA841">
        <f t="shared" si="133"/>
        <v>1632.1759999999999</v>
      </c>
      <c r="AB841" s="7">
        <f t="shared" si="134"/>
        <v>0.42656814841298218</v>
      </c>
      <c r="AC841" t="str">
        <f t="shared" si="135"/>
        <v>September</v>
      </c>
      <c r="AD841">
        <f t="shared" si="136"/>
        <v>2024</v>
      </c>
      <c r="AE841" t="str">
        <f t="shared" si="137"/>
        <v>Clean</v>
      </c>
      <c r="AF841" t="str">
        <f t="shared" si="138"/>
        <v>Match</v>
      </c>
      <c r="AG841" t="str">
        <f t="shared" si="139"/>
        <v>Match</v>
      </c>
    </row>
    <row r="842" spans="1:33">
      <c r="A842" t="s">
        <v>2590</v>
      </c>
      <c r="B842" s="3">
        <v>45919</v>
      </c>
      <c r="C842" s="3">
        <v>45919</v>
      </c>
      <c r="D842">
        <f t="shared" si="130"/>
        <v>0</v>
      </c>
      <c r="E842" t="s">
        <v>2591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2592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>
        <v>1</v>
      </c>
      <c r="X842" t="s">
        <v>2765</v>
      </c>
      <c r="Y842">
        <f t="shared" si="131"/>
        <v>0</v>
      </c>
      <c r="Z842">
        <f t="shared" si="132"/>
        <v>6336.44</v>
      </c>
      <c r="AA842">
        <f t="shared" si="133"/>
        <v>1655.7599999999993</v>
      </c>
      <c r="AB842" s="7">
        <f t="shared" si="134"/>
        <v>0.26130761121386764</v>
      </c>
      <c r="AC842" t="str">
        <f t="shared" si="135"/>
        <v>September</v>
      </c>
      <c r="AD842">
        <f t="shared" si="136"/>
        <v>2025</v>
      </c>
      <c r="AE842" t="str">
        <f t="shared" si="137"/>
        <v>Clean</v>
      </c>
      <c r="AF842" t="str">
        <f t="shared" si="138"/>
        <v>Match</v>
      </c>
      <c r="AG842" t="str">
        <f t="shared" si="139"/>
        <v>Match</v>
      </c>
    </row>
    <row r="843" spans="1:33">
      <c r="A843" t="s">
        <v>2593</v>
      </c>
      <c r="B843" s="3">
        <v>45694</v>
      </c>
      <c r="C843" s="3">
        <v>45700</v>
      </c>
      <c r="D843">
        <f t="shared" si="130"/>
        <v>6</v>
      </c>
      <c r="E843" t="s">
        <v>2594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2595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>
        <v>1</v>
      </c>
      <c r="X843" t="s">
        <v>2765</v>
      </c>
      <c r="Y843">
        <f t="shared" si="131"/>
        <v>0.25</v>
      </c>
      <c r="Z843">
        <f t="shared" si="132"/>
        <v>21850.829999999998</v>
      </c>
      <c r="AA843">
        <f t="shared" si="133"/>
        <v>5250.6999999999971</v>
      </c>
      <c r="AB843" s="7">
        <f t="shared" si="134"/>
        <v>0.2402975081495759</v>
      </c>
      <c r="AC843" t="str">
        <f t="shared" si="135"/>
        <v>February</v>
      </c>
      <c r="AD843">
        <f t="shared" si="136"/>
        <v>2025</v>
      </c>
      <c r="AE843" t="str">
        <f t="shared" si="137"/>
        <v>Clean</v>
      </c>
      <c r="AF843" t="str">
        <f t="shared" si="138"/>
        <v>Match</v>
      </c>
      <c r="AG843" t="str">
        <f t="shared" si="139"/>
        <v>Match</v>
      </c>
    </row>
    <row r="844" spans="1:33">
      <c r="A844" t="s">
        <v>2596</v>
      </c>
      <c r="B844" s="3">
        <v>45382</v>
      </c>
      <c r="C844" s="3">
        <v>45381</v>
      </c>
      <c r="D844">
        <f t="shared" si="130"/>
        <v>-1</v>
      </c>
      <c r="E844" t="s">
        <v>2597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2598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>
        <v>1</v>
      </c>
      <c r="X844" t="s">
        <v>2765</v>
      </c>
      <c r="Y844">
        <f t="shared" si="131"/>
        <v>0.15</v>
      </c>
      <c r="Z844">
        <f t="shared" si="132"/>
        <v>7453.0719999999992</v>
      </c>
      <c r="AA844">
        <f t="shared" si="133"/>
        <v>2319.2919999999995</v>
      </c>
      <c r="AB844" s="7">
        <f t="shared" si="134"/>
        <v>0.31118604516365866</v>
      </c>
      <c r="AC844" t="str">
        <f t="shared" si="135"/>
        <v>March</v>
      </c>
      <c r="AD844">
        <f t="shared" si="136"/>
        <v>2024</v>
      </c>
      <c r="AE844" t="str">
        <f t="shared" si="137"/>
        <v>Invalid</v>
      </c>
      <c r="AF844" t="str">
        <f t="shared" si="138"/>
        <v>Match</v>
      </c>
      <c r="AG844" t="str">
        <f t="shared" si="139"/>
        <v>Match</v>
      </c>
    </row>
    <row r="845" spans="1:33">
      <c r="A845" t="s">
        <v>2599</v>
      </c>
      <c r="B845" s="3">
        <v>45856</v>
      </c>
      <c r="C845" s="3">
        <v>45863</v>
      </c>
      <c r="D845">
        <f t="shared" si="130"/>
        <v>7</v>
      </c>
      <c r="E845" t="s">
        <v>2600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2601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>
        <v>1</v>
      </c>
      <c r="X845" t="s">
        <v>2765</v>
      </c>
      <c r="Y845">
        <f t="shared" si="131"/>
        <v>-0.02</v>
      </c>
      <c r="Z845">
        <f t="shared" si="132"/>
        <v>36623.793600000005</v>
      </c>
      <c r="AA845">
        <f t="shared" si="133"/>
        <v>12707.693600000006</v>
      </c>
      <c r="AB845" s="7">
        <f t="shared" si="134"/>
        <v>0.34697917257812433</v>
      </c>
      <c r="AC845" t="str">
        <f t="shared" si="135"/>
        <v>July</v>
      </c>
      <c r="AD845">
        <f t="shared" si="136"/>
        <v>2025</v>
      </c>
      <c r="AE845" t="str">
        <f t="shared" si="137"/>
        <v>Invalid</v>
      </c>
      <c r="AF845" t="str">
        <f t="shared" si="138"/>
        <v>Mismatch</v>
      </c>
      <c r="AG845" t="str">
        <f t="shared" si="139"/>
        <v>Mismatch</v>
      </c>
    </row>
    <row r="846" spans="1:33">
      <c r="A846" t="s">
        <v>2602</v>
      </c>
      <c r="B846" s="3">
        <v>45677</v>
      </c>
      <c r="C846" s="3">
        <v>45682</v>
      </c>
      <c r="D846">
        <f t="shared" si="130"/>
        <v>5</v>
      </c>
      <c r="E846" t="s">
        <v>2603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2604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>
        <v>1</v>
      </c>
      <c r="X846" t="s">
        <v>2765</v>
      </c>
      <c r="Y846">
        <f t="shared" si="131"/>
        <v>0</v>
      </c>
      <c r="Z846">
        <f t="shared" si="132"/>
        <v>3515.15</v>
      </c>
      <c r="AA846">
        <f t="shared" si="133"/>
        <v>1298.81</v>
      </c>
      <c r="AB846" s="7">
        <f t="shared" si="134"/>
        <v>0.36948921098672882</v>
      </c>
      <c r="AC846" t="str">
        <f t="shared" si="135"/>
        <v>January</v>
      </c>
      <c r="AD846">
        <f t="shared" si="136"/>
        <v>2025</v>
      </c>
      <c r="AE846" t="str">
        <f t="shared" si="137"/>
        <v>Clean</v>
      </c>
      <c r="AF846" t="str">
        <f t="shared" si="138"/>
        <v>Match</v>
      </c>
      <c r="AG846" t="str">
        <f t="shared" si="139"/>
        <v>Match</v>
      </c>
    </row>
    <row r="847" spans="1:33">
      <c r="A847" t="s">
        <v>2605</v>
      </c>
      <c r="B847" s="3">
        <v>45345</v>
      </c>
      <c r="C847" s="3">
        <v>45349</v>
      </c>
      <c r="D847">
        <f t="shared" si="130"/>
        <v>4</v>
      </c>
      <c r="E847" t="s">
        <v>592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2606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>
        <v>1</v>
      </c>
      <c r="X847" t="s">
        <v>2765</v>
      </c>
      <c r="Y847">
        <f t="shared" si="131"/>
        <v>0.25</v>
      </c>
      <c r="Z847">
        <f t="shared" si="132"/>
        <v>24409.552499999998</v>
      </c>
      <c r="AA847">
        <f t="shared" si="133"/>
        <v>7251.9724999999962</v>
      </c>
      <c r="AB847" s="7">
        <f t="shared" si="134"/>
        <v>0.29709567596538267</v>
      </c>
      <c r="AC847" t="str">
        <f t="shared" si="135"/>
        <v>February</v>
      </c>
      <c r="AD847">
        <f t="shared" si="136"/>
        <v>2024</v>
      </c>
      <c r="AE847" t="str">
        <f t="shared" si="137"/>
        <v>Clean</v>
      </c>
      <c r="AF847" t="str">
        <f t="shared" si="138"/>
        <v>Match</v>
      </c>
      <c r="AG847" t="str">
        <f t="shared" si="139"/>
        <v>Match</v>
      </c>
    </row>
    <row r="848" spans="1:33">
      <c r="A848" t="s">
        <v>2607</v>
      </c>
      <c r="B848" s="3">
        <v>45396</v>
      </c>
      <c r="C848" s="3">
        <v>45404</v>
      </c>
      <c r="D848">
        <f t="shared" si="130"/>
        <v>8</v>
      </c>
      <c r="E848" t="s">
        <v>2608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2609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>
        <v>1</v>
      </c>
      <c r="X848" t="s">
        <v>2765</v>
      </c>
      <c r="Y848">
        <f t="shared" si="131"/>
        <v>0</v>
      </c>
      <c r="Z848">
        <f t="shared" si="132"/>
        <v>7955.04</v>
      </c>
      <c r="AA848">
        <f t="shared" si="133"/>
        <v>2374.3599999999997</v>
      </c>
      <c r="AB848" s="7">
        <f t="shared" si="134"/>
        <v>0.29847241497214339</v>
      </c>
      <c r="AC848" t="str">
        <f t="shared" si="135"/>
        <v>April</v>
      </c>
      <c r="AD848">
        <f t="shared" si="136"/>
        <v>2024</v>
      </c>
      <c r="AE848" t="str">
        <f t="shared" si="137"/>
        <v>Clean</v>
      </c>
      <c r="AF848" t="str">
        <f t="shared" si="138"/>
        <v>Match</v>
      </c>
      <c r="AG848" t="str">
        <f t="shared" si="139"/>
        <v>Match</v>
      </c>
    </row>
    <row r="849" spans="1:33">
      <c r="A849" t="s">
        <v>2610</v>
      </c>
      <c r="B849" s="3">
        <v>45797</v>
      </c>
      <c r="C849" s="3">
        <v>45799</v>
      </c>
      <c r="D849">
        <f t="shared" si="130"/>
        <v>2</v>
      </c>
      <c r="E849" t="s">
        <v>2611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2612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>
        <v>1</v>
      </c>
      <c r="X849" t="s">
        <v>2765</v>
      </c>
      <c r="Y849">
        <f t="shared" si="131"/>
        <v>0.2</v>
      </c>
      <c r="Z849">
        <f t="shared" si="132"/>
        <v>336.12800000000004</v>
      </c>
      <c r="AA849">
        <f t="shared" si="133"/>
        <v>93.938000000000045</v>
      </c>
      <c r="AB849" s="7">
        <f t="shared" si="134"/>
        <v>0.27947091584158423</v>
      </c>
      <c r="AC849" t="str">
        <f t="shared" si="135"/>
        <v>May</v>
      </c>
      <c r="AD849">
        <f t="shared" si="136"/>
        <v>2025</v>
      </c>
      <c r="AE849" t="str">
        <f t="shared" si="137"/>
        <v>Clean</v>
      </c>
      <c r="AF849" t="str">
        <f t="shared" si="138"/>
        <v>Match</v>
      </c>
      <c r="AG849" t="str">
        <f t="shared" si="139"/>
        <v>Match</v>
      </c>
    </row>
    <row r="850" spans="1:33">
      <c r="A850" t="s">
        <v>2613</v>
      </c>
      <c r="B850" s="3">
        <v>45804</v>
      </c>
      <c r="C850" s="3">
        <v>45806</v>
      </c>
      <c r="D850">
        <f t="shared" si="130"/>
        <v>2</v>
      </c>
      <c r="E850" t="s">
        <v>2614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2615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>
        <v>1</v>
      </c>
      <c r="X850" t="s">
        <v>2765</v>
      </c>
      <c r="Y850">
        <f t="shared" si="131"/>
        <v>0.25</v>
      </c>
      <c r="Z850">
        <f t="shared" si="132"/>
        <v>1308.2624999999998</v>
      </c>
      <c r="AA850">
        <f t="shared" si="133"/>
        <v>224.70249999999987</v>
      </c>
      <c r="AB850" s="7">
        <f t="shared" si="134"/>
        <v>0.17175643267310645</v>
      </c>
      <c r="AC850" t="str">
        <f t="shared" si="135"/>
        <v>May</v>
      </c>
      <c r="AD850">
        <f t="shared" si="136"/>
        <v>2025</v>
      </c>
      <c r="AE850" t="str">
        <f t="shared" si="137"/>
        <v>Clean</v>
      </c>
      <c r="AF850" t="str">
        <f t="shared" si="138"/>
        <v>Match</v>
      </c>
      <c r="AG850" t="str">
        <f t="shared" si="139"/>
        <v>Match</v>
      </c>
    </row>
    <row r="851" spans="1:33">
      <c r="A851" t="s">
        <v>2616</v>
      </c>
      <c r="B851" s="3">
        <v>45357</v>
      </c>
      <c r="C851" s="3">
        <v>45363</v>
      </c>
      <c r="D851">
        <f t="shared" si="130"/>
        <v>6</v>
      </c>
      <c r="E851" t="s">
        <v>2617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2618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>
        <v>1</v>
      </c>
      <c r="X851" t="s">
        <v>2765</v>
      </c>
      <c r="Y851">
        <f t="shared" si="131"/>
        <v>0.2</v>
      </c>
      <c r="Z851">
        <f t="shared" si="132"/>
        <v>1631.1120000000001</v>
      </c>
      <c r="AA851">
        <f t="shared" si="133"/>
        <v>732.38200000000006</v>
      </c>
      <c r="AB851" s="7">
        <f t="shared" si="134"/>
        <v>0.44900779345624336</v>
      </c>
      <c r="AC851" t="str">
        <f t="shared" si="135"/>
        <v>March</v>
      </c>
      <c r="AD851">
        <f t="shared" si="136"/>
        <v>2024</v>
      </c>
      <c r="AE851" t="str">
        <f t="shared" si="137"/>
        <v>Clean</v>
      </c>
      <c r="AF851" t="str">
        <f t="shared" si="138"/>
        <v>Match</v>
      </c>
      <c r="AG851" t="str">
        <f t="shared" si="139"/>
        <v>Mismatch</v>
      </c>
    </row>
    <row r="852" spans="1:33">
      <c r="A852" t="s">
        <v>2619</v>
      </c>
      <c r="B852" s="3">
        <v>45473</v>
      </c>
      <c r="C852" s="3">
        <v>45476</v>
      </c>
      <c r="D852">
        <f t="shared" si="130"/>
        <v>3</v>
      </c>
      <c r="E852" t="s">
        <v>2620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2621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>
        <v>1</v>
      </c>
      <c r="X852" t="s">
        <v>2765</v>
      </c>
      <c r="Y852">
        <f t="shared" si="131"/>
        <v>0</v>
      </c>
      <c r="Z852">
        <f t="shared" si="132"/>
        <v>7266.0599999999995</v>
      </c>
      <c r="AA852">
        <f t="shared" si="133"/>
        <v>1049.1699999999992</v>
      </c>
      <c r="AB852" s="7">
        <f t="shared" si="134"/>
        <v>0.14439324750965438</v>
      </c>
      <c r="AC852" t="str">
        <f t="shared" si="135"/>
        <v>June</v>
      </c>
      <c r="AD852">
        <f t="shared" si="136"/>
        <v>2024</v>
      </c>
      <c r="AE852" t="str">
        <f t="shared" si="137"/>
        <v>Clean</v>
      </c>
      <c r="AF852" t="str">
        <f t="shared" si="138"/>
        <v>Match</v>
      </c>
      <c r="AG852" t="str">
        <f t="shared" si="139"/>
        <v>Match</v>
      </c>
    </row>
    <row r="853" spans="1:33">
      <c r="A853" t="s">
        <v>2622</v>
      </c>
      <c r="B853" s="3">
        <v>45377</v>
      </c>
      <c r="C853" s="3">
        <v>45383</v>
      </c>
      <c r="D853">
        <f t="shared" si="130"/>
        <v>6</v>
      </c>
      <c r="E853" t="s">
        <v>2623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2624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>
        <v>1</v>
      </c>
      <c r="X853" t="s">
        <v>2765</v>
      </c>
      <c r="Y853">
        <f t="shared" si="131"/>
        <v>0.2</v>
      </c>
      <c r="Z853">
        <f t="shared" si="132"/>
        <v>1858.08</v>
      </c>
      <c r="AA853">
        <f t="shared" si="133"/>
        <v>267.32999999999993</v>
      </c>
      <c r="AB853" s="7">
        <f t="shared" si="134"/>
        <v>0.14387432188065097</v>
      </c>
      <c r="AC853" t="str">
        <f t="shared" si="135"/>
        <v>March</v>
      </c>
      <c r="AD853">
        <f t="shared" si="136"/>
        <v>2024</v>
      </c>
      <c r="AE853" t="str">
        <f t="shared" si="137"/>
        <v>Clean</v>
      </c>
      <c r="AF853" t="str">
        <f t="shared" si="138"/>
        <v>Match</v>
      </c>
      <c r="AG853" t="str">
        <f t="shared" si="139"/>
        <v>Match</v>
      </c>
    </row>
    <row r="854" spans="1:33">
      <c r="A854" t="s">
        <v>2625</v>
      </c>
      <c r="B854" s="3">
        <v>45383</v>
      </c>
      <c r="C854" s="3">
        <v>45390</v>
      </c>
      <c r="D854">
        <f t="shared" si="130"/>
        <v>7</v>
      </c>
      <c r="E854" t="s">
        <v>2626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2627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>
        <v>1</v>
      </c>
      <c r="X854" t="s">
        <v>2765</v>
      </c>
      <c r="Y854">
        <f t="shared" si="131"/>
        <v>0.15</v>
      </c>
      <c r="Z854">
        <f t="shared" si="132"/>
        <v>25021.832500000004</v>
      </c>
      <c r="AA854">
        <f t="shared" si="133"/>
        <v>9477.3925000000036</v>
      </c>
      <c r="AB854" s="7">
        <f t="shared" si="134"/>
        <v>0.37876492459135447</v>
      </c>
      <c r="AC854" t="str">
        <f t="shared" si="135"/>
        <v>April</v>
      </c>
      <c r="AD854">
        <f t="shared" si="136"/>
        <v>2024</v>
      </c>
      <c r="AE854" t="str">
        <f t="shared" si="137"/>
        <v>Clean</v>
      </c>
      <c r="AF854" t="str">
        <f t="shared" si="138"/>
        <v>Match</v>
      </c>
      <c r="AG854" t="str">
        <f t="shared" si="139"/>
        <v>Match</v>
      </c>
    </row>
    <row r="855" spans="1:33">
      <c r="A855" t="s">
        <v>2628</v>
      </c>
      <c r="B855" s="3">
        <v>45793</v>
      </c>
      <c r="C855" s="3">
        <v>45799</v>
      </c>
      <c r="D855">
        <f t="shared" si="130"/>
        <v>6</v>
      </c>
      <c r="E855" t="s">
        <v>2629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2630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>
        <v>1</v>
      </c>
      <c r="X855" t="s">
        <v>2765</v>
      </c>
      <c r="Y855">
        <f t="shared" si="131"/>
        <v>0.2</v>
      </c>
      <c r="Z855">
        <f t="shared" si="132"/>
        <v>3710.72</v>
      </c>
      <c r="AA855">
        <f t="shared" si="133"/>
        <v>595.42999999999984</v>
      </c>
      <c r="AB855" s="7">
        <f t="shared" si="134"/>
        <v>0.16046212055881334</v>
      </c>
      <c r="AC855" t="str">
        <f t="shared" si="135"/>
        <v>May</v>
      </c>
      <c r="AD855">
        <f t="shared" si="136"/>
        <v>2025</v>
      </c>
      <c r="AE855" t="str">
        <f t="shared" si="137"/>
        <v>Clean</v>
      </c>
      <c r="AF855" t="str">
        <f t="shared" si="138"/>
        <v>Match</v>
      </c>
      <c r="AG855" t="str">
        <f t="shared" si="139"/>
        <v>Match</v>
      </c>
    </row>
    <row r="856" spans="1:33">
      <c r="A856" t="s">
        <v>2631</v>
      </c>
      <c r="B856" s="3">
        <v>45741</v>
      </c>
      <c r="C856" s="3">
        <v>45749</v>
      </c>
      <c r="D856">
        <f t="shared" si="130"/>
        <v>8</v>
      </c>
      <c r="E856" t="s">
        <v>2632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2633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>
        <v>1</v>
      </c>
      <c r="X856" t="s">
        <v>2765</v>
      </c>
      <c r="Y856">
        <f t="shared" si="131"/>
        <v>0.05</v>
      </c>
      <c r="Z856">
        <f t="shared" si="132"/>
        <v>8487.8319999999985</v>
      </c>
      <c r="AA856">
        <f t="shared" si="133"/>
        <v>3242.1119999999983</v>
      </c>
      <c r="AB856" s="7">
        <f t="shared" si="134"/>
        <v>0.38197174496384928</v>
      </c>
      <c r="AC856" t="str">
        <f t="shared" si="135"/>
        <v>March</v>
      </c>
      <c r="AD856">
        <f t="shared" si="136"/>
        <v>2025</v>
      </c>
      <c r="AE856" t="str">
        <f t="shared" si="137"/>
        <v>Clean</v>
      </c>
      <c r="AF856" t="str">
        <f t="shared" si="138"/>
        <v>Match</v>
      </c>
      <c r="AG856" t="str">
        <f t="shared" si="139"/>
        <v>Match</v>
      </c>
    </row>
    <row r="857" spans="1:33">
      <c r="A857" t="s">
        <v>2634</v>
      </c>
      <c r="B857" s="3">
        <v>45498</v>
      </c>
      <c r="C857" s="3">
        <v>45506</v>
      </c>
      <c r="D857">
        <f t="shared" si="130"/>
        <v>8</v>
      </c>
      <c r="E857" t="s">
        <v>1120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2635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>
        <v>1</v>
      </c>
      <c r="X857" t="s">
        <v>2765</v>
      </c>
      <c r="Y857">
        <f t="shared" si="131"/>
        <v>0.25</v>
      </c>
      <c r="Z857">
        <f t="shared" si="132"/>
        <v>3110.2950000000001</v>
      </c>
      <c r="AA857">
        <f t="shared" si="133"/>
        <v>1009.2649999999999</v>
      </c>
      <c r="AB857" s="7">
        <f t="shared" si="134"/>
        <v>0.32449172827657824</v>
      </c>
      <c r="AC857" t="str">
        <f t="shared" si="135"/>
        <v>July</v>
      </c>
      <c r="AD857">
        <f t="shared" si="136"/>
        <v>2024</v>
      </c>
      <c r="AE857" t="str">
        <f t="shared" si="137"/>
        <v>Clean</v>
      </c>
      <c r="AF857" t="str">
        <f t="shared" si="138"/>
        <v>Match</v>
      </c>
      <c r="AG857" t="str">
        <f t="shared" si="139"/>
        <v>Match</v>
      </c>
    </row>
    <row r="858" spans="1:33">
      <c r="A858" t="s">
        <v>2636</v>
      </c>
      <c r="B858" s="3">
        <v>45455</v>
      </c>
      <c r="C858" s="3">
        <v>45462</v>
      </c>
      <c r="D858">
        <f t="shared" si="130"/>
        <v>7</v>
      </c>
      <c r="E858" t="s">
        <v>1298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2637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>
        <v>1</v>
      </c>
      <c r="X858" t="s">
        <v>2765</v>
      </c>
      <c r="Y858">
        <f t="shared" si="131"/>
        <v>-0.16</v>
      </c>
      <c r="Z858">
        <f t="shared" si="132"/>
        <v>1833.2639999999999</v>
      </c>
      <c r="AA858">
        <f t="shared" si="133"/>
        <v>866.71399999999994</v>
      </c>
      <c r="AB858" s="7">
        <f t="shared" si="134"/>
        <v>0.47277097024760206</v>
      </c>
      <c r="AC858" t="str">
        <f t="shared" si="135"/>
        <v>June</v>
      </c>
      <c r="AD858">
        <f t="shared" si="136"/>
        <v>2024</v>
      </c>
      <c r="AE858" t="str">
        <f t="shared" si="137"/>
        <v>Invalid</v>
      </c>
      <c r="AF858" t="str">
        <f t="shared" si="138"/>
        <v>Mismatch</v>
      </c>
      <c r="AG858" t="str">
        <f t="shared" si="139"/>
        <v>Mismatch</v>
      </c>
    </row>
    <row r="859" spans="1:33">
      <c r="A859" t="s">
        <v>2638</v>
      </c>
      <c r="B859" s="3">
        <v>45447</v>
      </c>
      <c r="C859" s="3">
        <v>45447</v>
      </c>
      <c r="D859">
        <f t="shared" si="130"/>
        <v>0</v>
      </c>
      <c r="E859" t="s">
        <v>2145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2639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>
        <v>1</v>
      </c>
      <c r="X859" t="s">
        <v>2765</v>
      </c>
      <c r="Y859">
        <f t="shared" si="131"/>
        <v>0.25</v>
      </c>
      <c r="Z859">
        <f t="shared" si="132"/>
        <v>12190.365</v>
      </c>
      <c r="AA859">
        <f t="shared" si="133"/>
        <v>2013.375</v>
      </c>
      <c r="AB859" s="7">
        <f t="shared" si="134"/>
        <v>0.16516117441930575</v>
      </c>
      <c r="AC859" t="str">
        <f t="shared" si="135"/>
        <v>June</v>
      </c>
      <c r="AD859">
        <f t="shared" si="136"/>
        <v>2024</v>
      </c>
      <c r="AE859" t="str">
        <f t="shared" si="137"/>
        <v>Clean</v>
      </c>
      <c r="AF859" t="str">
        <f t="shared" si="138"/>
        <v>Match</v>
      </c>
      <c r="AG859" t="str">
        <f t="shared" si="139"/>
        <v>Match</v>
      </c>
    </row>
    <row r="860" spans="1:33">
      <c r="A860" t="s">
        <v>2640</v>
      </c>
      <c r="B860" s="3">
        <v>45414</v>
      </c>
      <c r="C860" s="3">
        <v>45421</v>
      </c>
      <c r="D860">
        <f t="shared" si="130"/>
        <v>7</v>
      </c>
      <c r="E860" t="s">
        <v>2641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2642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>
        <v>1</v>
      </c>
      <c r="X860" t="s">
        <v>2765</v>
      </c>
      <c r="Y860">
        <f t="shared" si="131"/>
        <v>0</v>
      </c>
      <c r="Z860">
        <f t="shared" si="132"/>
        <v>11619.44</v>
      </c>
      <c r="AA860">
        <f t="shared" si="133"/>
        <v>4435.1200000000008</v>
      </c>
      <c r="AB860" s="7">
        <f t="shared" si="134"/>
        <v>0.3816982574031107</v>
      </c>
      <c r="AC860" t="str">
        <f t="shared" si="135"/>
        <v>May</v>
      </c>
      <c r="AD860">
        <f t="shared" si="136"/>
        <v>2024</v>
      </c>
      <c r="AE860" t="str">
        <f t="shared" si="137"/>
        <v>Clean</v>
      </c>
      <c r="AF860" t="str">
        <f t="shared" si="138"/>
        <v>Match</v>
      </c>
      <c r="AG860" t="str">
        <f t="shared" si="139"/>
        <v>Mismatch</v>
      </c>
    </row>
    <row r="861" spans="1:33">
      <c r="A861" t="s">
        <v>2643</v>
      </c>
      <c r="B861" s="3">
        <v>45592</v>
      </c>
      <c r="C861" s="3">
        <v>45597</v>
      </c>
      <c r="D861">
        <f t="shared" si="130"/>
        <v>5</v>
      </c>
      <c r="E861" t="s">
        <v>2644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2645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>
        <v>1</v>
      </c>
      <c r="X861" t="s">
        <v>2765</v>
      </c>
      <c r="Y861">
        <f t="shared" si="131"/>
        <v>0.05</v>
      </c>
      <c r="Z861">
        <f t="shared" si="132"/>
        <v>25075.439999999995</v>
      </c>
      <c r="AA861">
        <f t="shared" si="133"/>
        <v>8792.6999999999953</v>
      </c>
      <c r="AB861" s="7">
        <f t="shared" si="134"/>
        <v>0.35064987892535471</v>
      </c>
      <c r="AC861" t="str">
        <f t="shared" si="135"/>
        <v>October</v>
      </c>
      <c r="AD861">
        <f t="shared" si="136"/>
        <v>2024</v>
      </c>
      <c r="AE861" t="str">
        <f t="shared" si="137"/>
        <v>Clean</v>
      </c>
      <c r="AF861" t="str">
        <f t="shared" si="138"/>
        <v>Match</v>
      </c>
      <c r="AG861" t="str">
        <f t="shared" si="139"/>
        <v>Match</v>
      </c>
    </row>
    <row r="862" spans="1:33">
      <c r="A862" t="s">
        <v>2646</v>
      </c>
      <c r="B862" s="3">
        <v>45324</v>
      </c>
      <c r="C862" s="3">
        <v>45326</v>
      </c>
      <c r="D862">
        <f t="shared" si="130"/>
        <v>2</v>
      </c>
      <c r="E862" t="s">
        <v>2647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2648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>
        <v>1</v>
      </c>
      <c r="X862" t="s">
        <v>2765</v>
      </c>
      <c r="Y862">
        <f t="shared" si="131"/>
        <v>0.05</v>
      </c>
      <c r="Z862">
        <f t="shared" si="132"/>
        <v>4177.4539999999997</v>
      </c>
      <c r="AA862">
        <f t="shared" si="133"/>
        <v>1877.9539999999997</v>
      </c>
      <c r="AB862" s="7">
        <f t="shared" si="134"/>
        <v>0.44954510570313877</v>
      </c>
      <c r="AC862" t="str">
        <f t="shared" si="135"/>
        <v>February</v>
      </c>
      <c r="AD862">
        <f t="shared" si="136"/>
        <v>2024</v>
      </c>
      <c r="AE862" t="str">
        <f t="shared" si="137"/>
        <v>Clean</v>
      </c>
      <c r="AF862" t="str">
        <f t="shared" si="138"/>
        <v>Match</v>
      </c>
      <c r="AG862" t="str">
        <f t="shared" si="139"/>
        <v>Match</v>
      </c>
    </row>
    <row r="863" spans="1:33">
      <c r="A863" t="s">
        <v>2649</v>
      </c>
      <c r="B863" s="3">
        <v>45724</v>
      </c>
      <c r="C863" s="3">
        <v>45725</v>
      </c>
      <c r="D863">
        <f t="shared" si="130"/>
        <v>1</v>
      </c>
      <c r="E863" t="s">
        <v>2650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2651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>
        <v>1</v>
      </c>
      <c r="X863" t="s">
        <v>2765</v>
      </c>
      <c r="Y863">
        <f t="shared" si="131"/>
        <v>0.2</v>
      </c>
      <c r="Z863">
        <f t="shared" si="132"/>
        <v>10898.175999999999</v>
      </c>
      <c r="AA863">
        <f t="shared" si="133"/>
        <v>4666.7659999999996</v>
      </c>
      <c r="AB863" s="7">
        <f t="shared" si="134"/>
        <v>0.42821532704188298</v>
      </c>
      <c r="AC863" t="str">
        <f t="shared" si="135"/>
        <v>March</v>
      </c>
      <c r="AD863">
        <f t="shared" si="136"/>
        <v>2025</v>
      </c>
      <c r="AE863" t="str">
        <f t="shared" si="137"/>
        <v>Clean</v>
      </c>
      <c r="AF863" t="str">
        <f t="shared" si="138"/>
        <v>Match</v>
      </c>
      <c r="AG863" t="str">
        <f t="shared" si="139"/>
        <v>Match</v>
      </c>
    </row>
    <row r="864" spans="1:33">
      <c r="A864" t="s">
        <v>2652</v>
      </c>
      <c r="B864" s="3">
        <v>45742</v>
      </c>
      <c r="C864" s="3">
        <v>45747</v>
      </c>
      <c r="D864">
        <f t="shared" si="130"/>
        <v>5</v>
      </c>
      <c r="E864" t="s">
        <v>2653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2654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>
        <v>1</v>
      </c>
      <c r="X864" t="s">
        <v>2765</v>
      </c>
      <c r="Y864">
        <f t="shared" si="131"/>
        <v>0</v>
      </c>
      <c r="Z864">
        <f t="shared" si="132"/>
        <v>6975.7000000000007</v>
      </c>
      <c r="AA864">
        <f t="shared" si="133"/>
        <v>2177.8200000000006</v>
      </c>
      <c r="AB864" s="7">
        <f t="shared" si="134"/>
        <v>0.3122009260719355</v>
      </c>
      <c r="AC864" t="str">
        <f t="shared" si="135"/>
        <v>March</v>
      </c>
      <c r="AD864">
        <f t="shared" si="136"/>
        <v>2025</v>
      </c>
      <c r="AE864" t="str">
        <f t="shared" si="137"/>
        <v>Clean</v>
      </c>
      <c r="AF864" t="str">
        <f t="shared" si="138"/>
        <v>Match</v>
      </c>
      <c r="AG864" t="str">
        <f t="shared" si="139"/>
        <v>Match</v>
      </c>
    </row>
    <row r="865" spans="1:33">
      <c r="A865" t="s">
        <v>2655</v>
      </c>
      <c r="B865" s="3">
        <v>45906</v>
      </c>
      <c r="C865" s="3">
        <v>45908</v>
      </c>
      <c r="D865">
        <f t="shared" si="130"/>
        <v>2</v>
      </c>
      <c r="E865" t="s">
        <v>2656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2657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>
        <v>1</v>
      </c>
      <c r="X865" t="s">
        <v>2765</v>
      </c>
      <c r="Y865">
        <f t="shared" si="131"/>
        <v>0</v>
      </c>
      <c r="Z865">
        <f t="shared" si="132"/>
        <v>8811.69</v>
      </c>
      <c r="AA865">
        <f t="shared" si="133"/>
        <v>2045.7800000000007</v>
      </c>
      <c r="AB865" s="7">
        <f t="shared" si="134"/>
        <v>0.23216658779416893</v>
      </c>
      <c r="AC865" t="str">
        <f t="shared" si="135"/>
        <v>September</v>
      </c>
      <c r="AD865">
        <f t="shared" si="136"/>
        <v>2025</v>
      </c>
      <c r="AE865" t="str">
        <f t="shared" si="137"/>
        <v>Clean</v>
      </c>
      <c r="AF865" t="str">
        <f t="shared" si="138"/>
        <v>Match</v>
      </c>
      <c r="AG865" t="str">
        <f t="shared" si="139"/>
        <v>Match</v>
      </c>
    </row>
    <row r="866" spans="1:33">
      <c r="A866" t="s">
        <v>2658</v>
      </c>
      <c r="B866" s="3">
        <v>45902</v>
      </c>
      <c r="C866" s="3">
        <v>45905</v>
      </c>
      <c r="D866">
        <f t="shared" si="130"/>
        <v>3</v>
      </c>
      <c r="E866" t="s">
        <v>2659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2660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>
        <v>1</v>
      </c>
      <c r="X866" t="s">
        <v>2765</v>
      </c>
      <c r="Y866">
        <f t="shared" si="131"/>
        <v>0</v>
      </c>
      <c r="Z866">
        <f t="shared" si="132"/>
        <v>17034.349999999999</v>
      </c>
      <c r="AA866">
        <f t="shared" si="133"/>
        <v>2402.989999999998</v>
      </c>
      <c r="AB866" s="7">
        <f t="shared" si="134"/>
        <v>0.14106731398615141</v>
      </c>
      <c r="AC866" t="str">
        <f t="shared" si="135"/>
        <v>September</v>
      </c>
      <c r="AD866">
        <f t="shared" si="136"/>
        <v>2025</v>
      </c>
      <c r="AE866" t="str">
        <f t="shared" si="137"/>
        <v>Clean</v>
      </c>
      <c r="AF866" t="str">
        <f t="shared" si="138"/>
        <v>Match</v>
      </c>
      <c r="AG866" t="str">
        <f t="shared" si="139"/>
        <v>Match</v>
      </c>
    </row>
    <row r="867" spans="1:33">
      <c r="A867" t="s">
        <v>2661</v>
      </c>
      <c r="B867" s="3">
        <v>45694</v>
      </c>
      <c r="C867" s="3">
        <v>45702</v>
      </c>
      <c r="D867">
        <f t="shared" si="130"/>
        <v>8</v>
      </c>
      <c r="E867" t="s">
        <v>2662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2663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>
        <v>1</v>
      </c>
      <c r="X867" t="s">
        <v>2765</v>
      </c>
      <c r="Y867">
        <f t="shared" si="131"/>
        <v>0</v>
      </c>
      <c r="Z867">
        <f t="shared" si="132"/>
        <v>7984.08</v>
      </c>
      <c r="AA867">
        <f t="shared" si="133"/>
        <v>2326.0299999999997</v>
      </c>
      <c r="AB867" s="7">
        <f t="shared" si="134"/>
        <v>0.29133350367230787</v>
      </c>
      <c r="AC867" t="str">
        <f t="shared" si="135"/>
        <v>February</v>
      </c>
      <c r="AD867">
        <f t="shared" si="136"/>
        <v>2025</v>
      </c>
      <c r="AE867" t="str">
        <f t="shared" si="137"/>
        <v>Clean</v>
      </c>
      <c r="AF867" t="str">
        <f t="shared" si="138"/>
        <v>Match</v>
      </c>
      <c r="AG867" t="str">
        <f t="shared" si="139"/>
        <v>Match</v>
      </c>
    </row>
    <row r="868" spans="1:33">
      <c r="A868" t="s">
        <v>2664</v>
      </c>
      <c r="B868" s="3">
        <v>45714</v>
      </c>
      <c r="C868" s="3">
        <v>45722</v>
      </c>
      <c r="D868">
        <f t="shared" si="130"/>
        <v>8</v>
      </c>
      <c r="E868" t="s">
        <v>2665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2666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>
        <v>1</v>
      </c>
      <c r="X868" t="s">
        <v>2765</v>
      </c>
      <c r="Y868">
        <f t="shared" si="131"/>
        <v>0.2</v>
      </c>
      <c r="Z868">
        <f t="shared" si="132"/>
        <v>21912.263999999999</v>
      </c>
      <c r="AA868">
        <f t="shared" si="133"/>
        <v>5544.4839999999986</v>
      </c>
      <c r="AB868" s="7">
        <f t="shared" si="134"/>
        <v>0.25303108797885965</v>
      </c>
      <c r="AC868" t="str">
        <f t="shared" si="135"/>
        <v>February</v>
      </c>
      <c r="AD868">
        <f t="shared" si="136"/>
        <v>2025</v>
      </c>
      <c r="AE868" t="str">
        <f t="shared" si="137"/>
        <v>Clean</v>
      </c>
      <c r="AF868" t="str">
        <f t="shared" si="138"/>
        <v>Match</v>
      </c>
      <c r="AG868" t="str">
        <f t="shared" si="139"/>
        <v>Match</v>
      </c>
    </row>
    <row r="869" spans="1:33">
      <c r="A869" t="s">
        <v>2667</v>
      </c>
      <c r="B869" s="3">
        <v>45617</v>
      </c>
      <c r="C869" s="3">
        <v>45618</v>
      </c>
      <c r="D869">
        <f t="shared" si="130"/>
        <v>1</v>
      </c>
      <c r="E869" t="s">
        <v>2668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2669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>
        <v>1</v>
      </c>
      <c r="X869" t="s">
        <v>2765</v>
      </c>
      <c r="Y869">
        <f t="shared" si="131"/>
        <v>0.25</v>
      </c>
      <c r="Z869">
        <f t="shared" si="132"/>
        <v>4695.7049999999999</v>
      </c>
      <c r="AA869">
        <f t="shared" si="133"/>
        <v>824.01499999999987</v>
      </c>
      <c r="AB869" s="7">
        <f t="shared" si="134"/>
        <v>0.17548270174553127</v>
      </c>
      <c r="AC869" t="str">
        <f t="shared" si="135"/>
        <v>November</v>
      </c>
      <c r="AD869">
        <f t="shared" si="136"/>
        <v>2024</v>
      </c>
      <c r="AE869" t="str">
        <f t="shared" si="137"/>
        <v>Clean</v>
      </c>
      <c r="AF869" t="str">
        <f t="shared" si="138"/>
        <v>Match</v>
      </c>
      <c r="AG869" t="str">
        <f t="shared" si="139"/>
        <v>Match</v>
      </c>
    </row>
    <row r="870" spans="1:33">
      <c r="A870" t="s">
        <v>2670</v>
      </c>
      <c r="B870" s="3">
        <v>45758</v>
      </c>
      <c r="C870" s="3">
        <v>45762</v>
      </c>
      <c r="D870">
        <f t="shared" si="130"/>
        <v>4</v>
      </c>
      <c r="E870" t="s">
        <v>2671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2672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>
        <v>1</v>
      </c>
      <c r="X870" t="s">
        <v>2765</v>
      </c>
      <c r="Y870">
        <f t="shared" si="131"/>
        <v>0.05</v>
      </c>
      <c r="Z870">
        <f t="shared" si="132"/>
        <v>1923.2369999999999</v>
      </c>
      <c r="AA870">
        <f t="shared" si="133"/>
        <v>829.57699999999977</v>
      </c>
      <c r="AB870" s="7">
        <f t="shared" si="134"/>
        <v>0.43134413491420964</v>
      </c>
      <c r="AC870" t="str">
        <f t="shared" si="135"/>
        <v>April</v>
      </c>
      <c r="AD870">
        <f t="shared" si="136"/>
        <v>2025</v>
      </c>
      <c r="AE870" t="str">
        <f t="shared" si="137"/>
        <v>Clean</v>
      </c>
      <c r="AF870" t="str">
        <f t="shared" si="138"/>
        <v>Match</v>
      </c>
      <c r="AG870" t="str">
        <f t="shared" si="139"/>
        <v>Match</v>
      </c>
    </row>
    <row r="871" spans="1:33">
      <c r="A871" t="s">
        <v>2673</v>
      </c>
      <c r="B871" s="3">
        <v>45722</v>
      </c>
      <c r="C871" s="3">
        <v>45723</v>
      </c>
      <c r="D871">
        <f t="shared" si="130"/>
        <v>1</v>
      </c>
      <c r="E871" t="s">
        <v>2674</v>
      </c>
      <c r="F871" t="s">
        <v>141</v>
      </c>
      <c r="G871" t="s">
        <v>95</v>
      </c>
      <c r="H871" t="s">
        <v>2760</v>
      </c>
      <c r="I871" t="s">
        <v>350</v>
      </c>
      <c r="J871" t="s">
        <v>351</v>
      </c>
      <c r="K871" t="s">
        <v>41</v>
      </c>
      <c r="L871" t="s">
        <v>66</v>
      </c>
      <c r="M871" t="s">
        <v>1145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>
        <v>1</v>
      </c>
      <c r="X871" t="s">
        <v>2765</v>
      </c>
      <c r="Y871">
        <f t="shared" si="131"/>
        <v>0.1</v>
      </c>
      <c r="Z871">
        <f t="shared" si="132"/>
        <v>4301.91</v>
      </c>
      <c r="AA871">
        <f t="shared" si="133"/>
        <v>1927.5099999999998</v>
      </c>
      <c r="AB871" s="7">
        <f t="shared" si="134"/>
        <v>0.44805911792668834</v>
      </c>
      <c r="AC871" t="str">
        <f t="shared" si="135"/>
        <v>March</v>
      </c>
      <c r="AD871">
        <f t="shared" si="136"/>
        <v>2025</v>
      </c>
      <c r="AE871" t="str">
        <f t="shared" si="137"/>
        <v>Clean</v>
      </c>
      <c r="AF871" t="str">
        <f t="shared" si="138"/>
        <v>Match</v>
      </c>
      <c r="AG871" t="str">
        <f t="shared" si="139"/>
        <v>Match</v>
      </c>
    </row>
    <row r="872" spans="1:33">
      <c r="A872" t="s">
        <v>2675</v>
      </c>
      <c r="B872" s="3">
        <v>45814</v>
      </c>
      <c r="C872" s="3">
        <v>45815</v>
      </c>
      <c r="D872">
        <f t="shared" si="130"/>
        <v>1</v>
      </c>
      <c r="E872" t="s">
        <v>2676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2677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>
        <v>1</v>
      </c>
      <c r="X872" t="s">
        <v>2765</v>
      </c>
      <c r="Y872">
        <f t="shared" si="131"/>
        <v>0.15</v>
      </c>
      <c r="Z872">
        <f t="shared" si="132"/>
        <v>22436.838</v>
      </c>
      <c r="AA872">
        <f t="shared" si="133"/>
        <v>4982.1680000000015</v>
      </c>
      <c r="AB872" s="7">
        <f t="shared" si="134"/>
        <v>0.22205303617203109</v>
      </c>
      <c r="AC872" t="str">
        <f t="shared" si="135"/>
        <v>June</v>
      </c>
      <c r="AD872">
        <f t="shared" si="136"/>
        <v>2025</v>
      </c>
      <c r="AE872" t="str">
        <f t="shared" si="137"/>
        <v>Clean</v>
      </c>
      <c r="AF872" t="str">
        <f t="shared" si="138"/>
        <v>Match</v>
      </c>
      <c r="AG872" t="str">
        <f t="shared" si="139"/>
        <v>Match</v>
      </c>
    </row>
    <row r="873" spans="1:33">
      <c r="A873" t="s">
        <v>2678</v>
      </c>
      <c r="B873" s="3">
        <v>45342</v>
      </c>
      <c r="C873" s="3">
        <v>45344</v>
      </c>
      <c r="D873">
        <f t="shared" si="130"/>
        <v>2</v>
      </c>
      <c r="E873" t="s">
        <v>2549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2679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>
        <v>1</v>
      </c>
      <c r="X873" t="s">
        <v>2765</v>
      </c>
      <c r="Y873">
        <f t="shared" si="131"/>
        <v>0</v>
      </c>
      <c r="Z873">
        <f t="shared" si="132"/>
        <v>19676.07</v>
      </c>
      <c r="AA873">
        <f t="shared" si="133"/>
        <v>7217.4499999999989</v>
      </c>
      <c r="AB873" s="7">
        <f t="shared" si="134"/>
        <v>0.36681359641432454</v>
      </c>
      <c r="AC873" t="str">
        <f t="shared" si="135"/>
        <v>February</v>
      </c>
      <c r="AD873">
        <f t="shared" si="136"/>
        <v>2024</v>
      </c>
      <c r="AE873" t="str">
        <f t="shared" si="137"/>
        <v>Clean</v>
      </c>
      <c r="AF873" t="str">
        <f t="shared" si="138"/>
        <v>Match</v>
      </c>
      <c r="AG873" t="str">
        <f t="shared" si="139"/>
        <v>Match</v>
      </c>
    </row>
    <row r="874" spans="1:33">
      <c r="A874" t="s">
        <v>2680</v>
      </c>
      <c r="B874" s="3">
        <v>45597</v>
      </c>
      <c r="C874" s="3">
        <v>45598</v>
      </c>
      <c r="D874">
        <f t="shared" si="130"/>
        <v>1</v>
      </c>
      <c r="E874" t="s">
        <v>1958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2681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>
        <v>1</v>
      </c>
      <c r="X874" t="s">
        <v>2765</v>
      </c>
      <c r="Y874">
        <f t="shared" si="131"/>
        <v>0.2</v>
      </c>
      <c r="Z874">
        <f t="shared" si="132"/>
        <v>8848.08</v>
      </c>
      <c r="AA874">
        <f t="shared" si="133"/>
        <v>3156.5199999999995</v>
      </c>
      <c r="AB874" s="7">
        <f t="shared" si="134"/>
        <v>0.35674632236598219</v>
      </c>
      <c r="AC874" t="str">
        <f t="shared" si="135"/>
        <v>November</v>
      </c>
      <c r="AD874">
        <f t="shared" si="136"/>
        <v>2024</v>
      </c>
      <c r="AE874" t="str">
        <f t="shared" si="137"/>
        <v>Clean</v>
      </c>
      <c r="AF874" t="str">
        <f t="shared" si="138"/>
        <v>Match</v>
      </c>
      <c r="AG874" t="str">
        <f t="shared" si="139"/>
        <v>Match</v>
      </c>
    </row>
    <row r="875" spans="1:33">
      <c r="A875" t="s">
        <v>2682</v>
      </c>
      <c r="B875" s="3">
        <v>45689</v>
      </c>
      <c r="C875" s="3">
        <v>45696</v>
      </c>
      <c r="D875">
        <f t="shared" si="130"/>
        <v>7</v>
      </c>
      <c r="E875" t="s">
        <v>2683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2684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>
        <v>1</v>
      </c>
      <c r="X875" t="s">
        <v>2765</v>
      </c>
      <c r="Y875">
        <f t="shared" si="131"/>
        <v>0.1</v>
      </c>
      <c r="Z875">
        <f t="shared" si="132"/>
        <v>4487.8319999999994</v>
      </c>
      <c r="AA875">
        <f t="shared" si="133"/>
        <v>1854.0519999999992</v>
      </c>
      <c r="AB875" s="7">
        <f t="shared" si="134"/>
        <v>0.41312865543986482</v>
      </c>
      <c r="AC875" t="str">
        <f t="shared" si="135"/>
        <v>February</v>
      </c>
      <c r="AD875">
        <f t="shared" si="136"/>
        <v>2025</v>
      </c>
      <c r="AE875" t="str">
        <f t="shared" si="137"/>
        <v>Clean</v>
      </c>
      <c r="AF875" t="str">
        <f t="shared" si="138"/>
        <v>Match</v>
      </c>
      <c r="AG875" t="str">
        <f t="shared" si="139"/>
        <v>Match</v>
      </c>
    </row>
    <row r="876" spans="1:33">
      <c r="A876" t="s">
        <v>2685</v>
      </c>
      <c r="B876" s="3">
        <v>45853</v>
      </c>
      <c r="C876" s="3">
        <v>45854</v>
      </c>
      <c r="D876">
        <f t="shared" si="130"/>
        <v>1</v>
      </c>
      <c r="E876" t="s">
        <v>2686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2687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>
        <v>1</v>
      </c>
      <c r="X876" t="s">
        <v>2765</v>
      </c>
      <c r="Y876">
        <f t="shared" si="131"/>
        <v>0.05</v>
      </c>
      <c r="Z876">
        <f t="shared" si="132"/>
        <v>29829.088</v>
      </c>
      <c r="AA876">
        <f t="shared" si="133"/>
        <v>9118.9079999999994</v>
      </c>
      <c r="AB876" s="7">
        <f t="shared" si="134"/>
        <v>0.30570522303598419</v>
      </c>
      <c r="AC876" t="str">
        <f t="shared" si="135"/>
        <v>July</v>
      </c>
      <c r="AD876">
        <f t="shared" si="136"/>
        <v>2025</v>
      </c>
      <c r="AE876" t="str">
        <f t="shared" si="137"/>
        <v>Clean</v>
      </c>
      <c r="AF876" t="str">
        <f t="shared" si="138"/>
        <v>Match</v>
      </c>
      <c r="AG876" t="str">
        <f t="shared" si="139"/>
        <v>Match</v>
      </c>
    </row>
    <row r="877" spans="1:33">
      <c r="A877" t="s">
        <v>2688</v>
      </c>
      <c r="B877" s="3">
        <v>45514</v>
      </c>
      <c r="C877" s="3">
        <v>45515</v>
      </c>
      <c r="D877">
        <f t="shared" si="130"/>
        <v>1</v>
      </c>
      <c r="E877" t="s">
        <v>2689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2690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>
        <v>1</v>
      </c>
      <c r="X877" t="s">
        <v>2765</v>
      </c>
      <c r="Y877">
        <f t="shared" si="131"/>
        <v>0.2</v>
      </c>
      <c r="Z877">
        <f t="shared" si="132"/>
        <v>21574.672000000002</v>
      </c>
      <c r="AA877">
        <f t="shared" si="133"/>
        <v>6901.8420000000024</v>
      </c>
      <c r="AB877" s="7">
        <f t="shared" si="134"/>
        <v>0.31990484026825539</v>
      </c>
      <c r="AC877" t="str">
        <f t="shared" si="135"/>
        <v>August</v>
      </c>
      <c r="AD877">
        <f t="shared" si="136"/>
        <v>2024</v>
      </c>
      <c r="AE877" t="str">
        <f t="shared" si="137"/>
        <v>Clean</v>
      </c>
      <c r="AF877" t="str">
        <f t="shared" si="138"/>
        <v>Match</v>
      </c>
      <c r="AG877" t="str">
        <f t="shared" si="139"/>
        <v>Match</v>
      </c>
    </row>
    <row r="878" spans="1:33">
      <c r="A878" t="s">
        <v>2691</v>
      </c>
      <c r="B878" s="3">
        <v>45614</v>
      </c>
      <c r="C878" s="3">
        <v>45616</v>
      </c>
      <c r="D878">
        <f t="shared" si="130"/>
        <v>2</v>
      </c>
      <c r="E878" t="s">
        <v>2692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843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>
        <v>1</v>
      </c>
      <c r="X878" t="s">
        <v>2765</v>
      </c>
      <c r="Y878">
        <f t="shared" si="131"/>
        <v>0</v>
      </c>
      <c r="Z878">
        <f t="shared" si="132"/>
        <v>22741.32</v>
      </c>
      <c r="AA878">
        <f t="shared" si="133"/>
        <v>6352.75</v>
      </c>
      <c r="AB878" s="7">
        <f t="shared" si="134"/>
        <v>0.27934834037777928</v>
      </c>
      <c r="AC878" t="str">
        <f t="shared" si="135"/>
        <v>November</v>
      </c>
      <c r="AD878">
        <f t="shared" si="136"/>
        <v>2024</v>
      </c>
      <c r="AE878" t="str">
        <f t="shared" si="137"/>
        <v>Clean</v>
      </c>
      <c r="AF878" t="str">
        <f t="shared" si="138"/>
        <v>Match</v>
      </c>
      <c r="AG878" t="str">
        <f t="shared" si="139"/>
        <v>Match</v>
      </c>
    </row>
    <row r="879" spans="1:33">
      <c r="A879" t="s">
        <v>2693</v>
      </c>
      <c r="B879" s="3">
        <v>45895</v>
      </c>
      <c r="C879" s="3">
        <v>45903</v>
      </c>
      <c r="D879">
        <f t="shared" si="130"/>
        <v>8</v>
      </c>
      <c r="E879" t="s">
        <v>2694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2695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>
        <v>1</v>
      </c>
      <c r="X879" t="s">
        <v>2765</v>
      </c>
      <c r="Y879">
        <f t="shared" si="131"/>
        <v>0.1</v>
      </c>
      <c r="Z879">
        <f t="shared" si="132"/>
        <v>3641.5439999999999</v>
      </c>
      <c r="AA879">
        <f t="shared" si="133"/>
        <v>951.17399999999998</v>
      </c>
      <c r="AB879" s="7">
        <f t="shared" si="134"/>
        <v>0.26120074342092253</v>
      </c>
      <c r="AC879" t="str">
        <f t="shared" si="135"/>
        <v>August</v>
      </c>
      <c r="AD879">
        <f t="shared" si="136"/>
        <v>2025</v>
      </c>
      <c r="AE879" t="str">
        <f t="shared" si="137"/>
        <v>Clean</v>
      </c>
      <c r="AF879" t="str">
        <f t="shared" si="138"/>
        <v>Match</v>
      </c>
      <c r="AG879" t="str">
        <f t="shared" si="139"/>
        <v>Match</v>
      </c>
    </row>
    <row r="880" spans="1:33">
      <c r="A880" t="s">
        <v>2696</v>
      </c>
      <c r="B880" s="3">
        <v>45313</v>
      </c>
      <c r="C880" s="3">
        <v>45313</v>
      </c>
      <c r="D880">
        <f t="shared" si="130"/>
        <v>0</v>
      </c>
      <c r="E880" t="s">
        <v>2697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2698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>
        <v>1</v>
      </c>
      <c r="X880" t="s">
        <v>2765</v>
      </c>
      <c r="Y880">
        <f t="shared" si="131"/>
        <v>0.05</v>
      </c>
      <c r="Z880">
        <f t="shared" si="132"/>
        <v>11834.796</v>
      </c>
      <c r="AA880">
        <f t="shared" si="133"/>
        <v>2512.4359999999997</v>
      </c>
      <c r="AB880" s="7">
        <f t="shared" si="134"/>
        <v>0.21229229468763125</v>
      </c>
      <c r="AC880" t="str">
        <f t="shared" si="135"/>
        <v>January</v>
      </c>
      <c r="AD880">
        <f t="shared" si="136"/>
        <v>2024</v>
      </c>
      <c r="AE880" t="str">
        <f t="shared" si="137"/>
        <v>Clean</v>
      </c>
      <c r="AF880" t="str">
        <f t="shared" si="138"/>
        <v>Match</v>
      </c>
      <c r="AG880" t="str">
        <f t="shared" si="139"/>
        <v>Match</v>
      </c>
    </row>
    <row r="881" spans="1:33">
      <c r="A881" t="s">
        <v>2699</v>
      </c>
      <c r="B881" s="3">
        <v>45896</v>
      </c>
      <c r="C881" s="3">
        <v>45897</v>
      </c>
      <c r="D881">
        <f t="shared" si="130"/>
        <v>1</v>
      </c>
      <c r="E881" t="s">
        <v>2700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2701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>
        <v>1</v>
      </c>
      <c r="X881" t="s">
        <v>2765</v>
      </c>
      <c r="Y881">
        <f t="shared" si="131"/>
        <v>0.15</v>
      </c>
      <c r="Z881">
        <f t="shared" si="132"/>
        <v>6028.3530000000001</v>
      </c>
      <c r="AA881">
        <f t="shared" si="133"/>
        <v>1594.723</v>
      </c>
      <c r="AB881" s="7">
        <f t="shared" si="134"/>
        <v>0.26453709661660491</v>
      </c>
      <c r="AC881" t="str">
        <f t="shared" si="135"/>
        <v>August</v>
      </c>
      <c r="AD881">
        <f t="shared" si="136"/>
        <v>2025</v>
      </c>
      <c r="AE881" t="str">
        <f t="shared" si="137"/>
        <v>Clean</v>
      </c>
      <c r="AF881" t="str">
        <f t="shared" si="138"/>
        <v>Match</v>
      </c>
      <c r="AG881" t="str">
        <f t="shared" si="139"/>
        <v>Match</v>
      </c>
    </row>
    <row r="882" spans="1:33">
      <c r="A882" t="s">
        <v>2702</v>
      </c>
      <c r="B882" s="3">
        <v>45359</v>
      </c>
      <c r="C882" s="3">
        <v>45366</v>
      </c>
      <c r="D882">
        <f t="shared" si="130"/>
        <v>7</v>
      </c>
      <c r="E882" t="s">
        <v>2703</v>
      </c>
      <c r="F882" t="s">
        <v>128</v>
      </c>
      <c r="G882" t="s">
        <v>37</v>
      </c>
      <c r="H882" t="s">
        <v>2760</v>
      </c>
      <c r="I882" t="s">
        <v>122</v>
      </c>
      <c r="J882" t="s">
        <v>123</v>
      </c>
      <c r="K882" t="s">
        <v>41</v>
      </c>
      <c r="L882" t="s">
        <v>66</v>
      </c>
      <c r="M882" t="s">
        <v>2704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>
        <v>1</v>
      </c>
      <c r="X882" t="s">
        <v>2765</v>
      </c>
      <c r="Y882">
        <f t="shared" si="131"/>
        <v>0</v>
      </c>
      <c r="Z882">
        <f t="shared" si="132"/>
        <v>16173.85</v>
      </c>
      <c r="AA882">
        <f t="shared" si="133"/>
        <v>2537.5100000000002</v>
      </c>
      <c r="AB882" s="7">
        <f t="shared" si="134"/>
        <v>0.15688967067210344</v>
      </c>
      <c r="AC882" t="str">
        <f t="shared" si="135"/>
        <v>March</v>
      </c>
      <c r="AD882">
        <f t="shared" si="136"/>
        <v>2024</v>
      </c>
      <c r="AE882" t="str">
        <f t="shared" si="137"/>
        <v>Clean</v>
      </c>
      <c r="AF882" t="str">
        <f t="shared" si="138"/>
        <v>Match</v>
      </c>
      <c r="AG882" t="str">
        <f t="shared" si="139"/>
        <v>Match</v>
      </c>
    </row>
    <row r="883" spans="1:33">
      <c r="A883" t="s">
        <v>2705</v>
      </c>
      <c r="B883" s="3">
        <v>45627</v>
      </c>
      <c r="C883" s="3">
        <v>45631</v>
      </c>
      <c r="D883">
        <f t="shared" si="130"/>
        <v>4</v>
      </c>
      <c r="E883" t="s">
        <v>2706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2707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>
        <v>1</v>
      </c>
      <c r="X883" t="s">
        <v>2765</v>
      </c>
      <c r="Y883">
        <f t="shared" si="131"/>
        <v>0.25</v>
      </c>
      <c r="Z883">
        <f t="shared" si="132"/>
        <v>25155.5625</v>
      </c>
      <c r="AA883">
        <f t="shared" si="133"/>
        <v>7562.8725000000013</v>
      </c>
      <c r="AB883" s="7">
        <f t="shared" si="134"/>
        <v>0.30064414182747856</v>
      </c>
      <c r="AC883" t="str">
        <f t="shared" si="135"/>
        <v>December</v>
      </c>
      <c r="AD883">
        <f t="shared" si="136"/>
        <v>2024</v>
      </c>
      <c r="AE883" t="str">
        <f t="shared" si="137"/>
        <v>Clean</v>
      </c>
      <c r="AF883" t="str">
        <f t="shared" si="138"/>
        <v>Match</v>
      </c>
      <c r="AG883" t="str">
        <f t="shared" si="139"/>
        <v>Match</v>
      </c>
    </row>
    <row r="884" spans="1:33">
      <c r="A884" t="s">
        <v>2708</v>
      </c>
      <c r="B884" s="3">
        <v>45690</v>
      </c>
      <c r="C884" s="3">
        <v>45698</v>
      </c>
      <c r="D884">
        <f t="shared" si="130"/>
        <v>8</v>
      </c>
      <c r="E884" t="s">
        <v>2709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2710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>
        <v>1</v>
      </c>
      <c r="X884" t="s">
        <v>2765</v>
      </c>
      <c r="Y884">
        <f t="shared" si="131"/>
        <v>0</v>
      </c>
      <c r="Z884">
        <f t="shared" si="132"/>
        <v>7649.8</v>
      </c>
      <c r="AA884">
        <f t="shared" si="133"/>
        <v>2755.2700000000004</v>
      </c>
      <c r="AB884" s="7">
        <f t="shared" si="134"/>
        <v>0.36017542942299152</v>
      </c>
      <c r="AC884" t="str">
        <f t="shared" si="135"/>
        <v>February</v>
      </c>
      <c r="AD884">
        <f t="shared" si="136"/>
        <v>2025</v>
      </c>
      <c r="AE884" t="str">
        <f t="shared" si="137"/>
        <v>Clean</v>
      </c>
      <c r="AF884" t="str">
        <f t="shared" si="138"/>
        <v>Match</v>
      </c>
      <c r="AG884" t="str">
        <f t="shared" si="139"/>
        <v>Match</v>
      </c>
    </row>
    <row r="885" spans="1:33">
      <c r="A885" t="s">
        <v>2711</v>
      </c>
      <c r="B885" s="3">
        <v>45775</v>
      </c>
      <c r="C885" s="3">
        <v>45778</v>
      </c>
      <c r="D885">
        <f t="shared" si="130"/>
        <v>3</v>
      </c>
      <c r="E885" t="s">
        <v>2712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2713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>
        <v>1</v>
      </c>
      <c r="X885" t="s">
        <v>2765</v>
      </c>
      <c r="Y885">
        <f t="shared" si="131"/>
        <v>0</v>
      </c>
      <c r="Z885">
        <f t="shared" si="132"/>
        <v>1620.87</v>
      </c>
      <c r="AA885">
        <f t="shared" si="133"/>
        <v>517.26</v>
      </c>
      <c r="AB885" s="7">
        <f t="shared" si="134"/>
        <v>0.31912491439782342</v>
      </c>
      <c r="AC885" t="str">
        <f t="shared" si="135"/>
        <v>April</v>
      </c>
      <c r="AD885">
        <f t="shared" si="136"/>
        <v>2025</v>
      </c>
      <c r="AE885" t="str">
        <f t="shared" si="137"/>
        <v>Clean</v>
      </c>
      <c r="AF885" t="str">
        <f t="shared" si="138"/>
        <v>Match</v>
      </c>
      <c r="AG885" t="str">
        <f t="shared" si="139"/>
        <v>Match</v>
      </c>
    </row>
    <row r="886" spans="1:33">
      <c r="A886" t="s">
        <v>2714</v>
      </c>
      <c r="B886" s="3">
        <v>45675</v>
      </c>
      <c r="C886" s="3">
        <v>45682</v>
      </c>
      <c r="D886">
        <f t="shared" si="130"/>
        <v>7</v>
      </c>
      <c r="E886" t="s">
        <v>2715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2716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>
        <v>1</v>
      </c>
      <c r="X886" t="s">
        <v>2765</v>
      </c>
      <c r="Y886">
        <f t="shared" si="131"/>
        <v>0.15</v>
      </c>
      <c r="Z886">
        <f t="shared" si="132"/>
        <v>3567.518</v>
      </c>
      <c r="AA886">
        <f t="shared" si="133"/>
        <v>1155.7179999999998</v>
      </c>
      <c r="AB886" s="7">
        <f t="shared" si="134"/>
        <v>0.32395575859743381</v>
      </c>
      <c r="AC886" t="str">
        <f t="shared" si="135"/>
        <v>January</v>
      </c>
      <c r="AD886">
        <f t="shared" si="136"/>
        <v>2025</v>
      </c>
      <c r="AE886" t="str">
        <f t="shared" si="137"/>
        <v>Clean</v>
      </c>
      <c r="AF886" t="str">
        <f t="shared" si="138"/>
        <v>Match</v>
      </c>
      <c r="AG886" t="str">
        <f t="shared" si="139"/>
        <v>Match</v>
      </c>
    </row>
    <row r="887" spans="1:33">
      <c r="A887" t="s">
        <v>2717</v>
      </c>
      <c r="B887" s="3">
        <v>45296</v>
      </c>
      <c r="C887" s="3">
        <v>45296</v>
      </c>
      <c r="D887">
        <f t="shared" si="130"/>
        <v>0</v>
      </c>
      <c r="E887" t="s">
        <v>2718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2719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>
        <v>1</v>
      </c>
      <c r="X887" t="s">
        <v>2765</v>
      </c>
      <c r="Y887">
        <f t="shared" si="131"/>
        <v>0.25</v>
      </c>
      <c r="Z887">
        <f t="shared" si="132"/>
        <v>1625.31</v>
      </c>
      <c r="AA887">
        <f t="shared" si="133"/>
        <v>467.41999999999985</v>
      </c>
      <c r="AB887" s="7">
        <f t="shared" si="134"/>
        <v>0.28758821394072509</v>
      </c>
      <c r="AC887" t="str">
        <f t="shared" si="135"/>
        <v>January</v>
      </c>
      <c r="AD887">
        <f t="shared" si="136"/>
        <v>2024</v>
      </c>
      <c r="AE887" t="str">
        <f t="shared" si="137"/>
        <v>Clean</v>
      </c>
      <c r="AF887" t="str">
        <f t="shared" si="138"/>
        <v>Match</v>
      </c>
      <c r="AG887" t="str">
        <f t="shared" si="139"/>
        <v>Match</v>
      </c>
    </row>
    <row r="888" spans="1:33">
      <c r="A888" t="s">
        <v>2720</v>
      </c>
      <c r="B888" s="3">
        <v>45773</v>
      </c>
      <c r="C888" s="3">
        <v>45780</v>
      </c>
      <c r="D888">
        <f t="shared" si="130"/>
        <v>7</v>
      </c>
      <c r="E888" t="s">
        <v>2721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2722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>
        <v>1</v>
      </c>
      <c r="X888" t="s">
        <v>2765</v>
      </c>
      <c r="Y888">
        <f t="shared" si="131"/>
        <v>0.15</v>
      </c>
      <c r="Z888">
        <f t="shared" si="132"/>
        <v>23739.904999999999</v>
      </c>
      <c r="AA888">
        <f t="shared" si="133"/>
        <v>6023.3849999999984</v>
      </c>
      <c r="AB888" s="7">
        <f t="shared" si="134"/>
        <v>0.25372405660427028</v>
      </c>
      <c r="AC888" t="str">
        <f t="shared" si="135"/>
        <v>April</v>
      </c>
      <c r="AD888">
        <f t="shared" si="136"/>
        <v>2025</v>
      </c>
      <c r="AE888" t="str">
        <f t="shared" si="137"/>
        <v>Clean</v>
      </c>
      <c r="AF888" t="str">
        <f t="shared" si="138"/>
        <v>Match</v>
      </c>
      <c r="AG888" t="str">
        <f t="shared" si="139"/>
        <v>Match</v>
      </c>
    </row>
    <row r="889" spans="1:33">
      <c r="A889" t="s">
        <v>2723</v>
      </c>
      <c r="B889" s="3">
        <v>45455</v>
      </c>
      <c r="C889" s="3">
        <v>45461</v>
      </c>
      <c r="D889">
        <f t="shared" si="130"/>
        <v>6</v>
      </c>
      <c r="E889" t="s">
        <v>2724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2725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>
        <v>1</v>
      </c>
      <c r="X889" t="s">
        <v>2765</v>
      </c>
      <c r="Y889">
        <f t="shared" si="131"/>
        <v>0</v>
      </c>
      <c r="Z889">
        <f t="shared" si="132"/>
        <v>16704.52</v>
      </c>
      <c r="AA889">
        <f t="shared" si="133"/>
        <v>6546.24</v>
      </c>
      <c r="AB889" s="7">
        <f t="shared" si="134"/>
        <v>0.39188435225914897</v>
      </c>
      <c r="AC889" t="str">
        <f t="shared" si="135"/>
        <v>June</v>
      </c>
      <c r="AD889">
        <f t="shared" si="136"/>
        <v>2024</v>
      </c>
      <c r="AE889" t="str">
        <f t="shared" si="137"/>
        <v>Clean</v>
      </c>
      <c r="AF889" t="str">
        <f t="shared" si="138"/>
        <v>Match</v>
      </c>
      <c r="AG889" t="str">
        <f t="shared" si="139"/>
        <v>Match</v>
      </c>
    </row>
    <row r="890" spans="1:33">
      <c r="A890" t="s">
        <v>2726</v>
      </c>
      <c r="B890" s="3">
        <v>45875</v>
      </c>
      <c r="C890" s="3">
        <v>45876</v>
      </c>
      <c r="D890">
        <f t="shared" si="130"/>
        <v>1</v>
      </c>
      <c r="E890" t="s">
        <v>2727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2728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>
        <v>1</v>
      </c>
      <c r="X890" t="s">
        <v>2765</v>
      </c>
      <c r="Y890">
        <f t="shared" si="131"/>
        <v>0.1</v>
      </c>
      <c r="Z890">
        <f t="shared" si="132"/>
        <v>12685.103999999999</v>
      </c>
      <c r="AA890">
        <f t="shared" si="133"/>
        <v>1905.5439999999999</v>
      </c>
      <c r="AB890" s="7">
        <f t="shared" si="134"/>
        <v>0.15021902855506741</v>
      </c>
      <c r="AC890" t="str">
        <f t="shared" si="135"/>
        <v>August</v>
      </c>
      <c r="AD890">
        <f t="shared" si="136"/>
        <v>2025</v>
      </c>
      <c r="AE890" t="str">
        <f t="shared" si="137"/>
        <v>Clean</v>
      </c>
      <c r="AF890" t="str">
        <f t="shared" si="138"/>
        <v>Match</v>
      </c>
      <c r="AG890" t="str">
        <f t="shared" si="139"/>
        <v>Match</v>
      </c>
    </row>
    <row r="891" spans="1:33">
      <c r="A891" t="s">
        <v>2729</v>
      </c>
      <c r="B891" s="3">
        <v>45726</v>
      </c>
      <c r="C891" s="3">
        <v>45727</v>
      </c>
      <c r="D891">
        <f t="shared" si="130"/>
        <v>1</v>
      </c>
      <c r="E891" t="s">
        <v>881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2730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>
        <v>1</v>
      </c>
      <c r="X891" t="s">
        <v>2765</v>
      </c>
      <c r="Y891">
        <f t="shared" si="131"/>
        <v>0.25</v>
      </c>
      <c r="Z891">
        <f t="shared" si="132"/>
        <v>5883.12</v>
      </c>
      <c r="AA891">
        <f t="shared" si="133"/>
        <v>1235.21</v>
      </c>
      <c r="AB891" s="7">
        <f t="shared" si="134"/>
        <v>0.20995832143488491</v>
      </c>
      <c r="AC891" t="str">
        <f t="shared" si="135"/>
        <v>March</v>
      </c>
      <c r="AD891">
        <f t="shared" si="136"/>
        <v>2025</v>
      </c>
      <c r="AE891" t="str">
        <f t="shared" si="137"/>
        <v>Clean</v>
      </c>
      <c r="AF891" t="str">
        <f t="shared" si="138"/>
        <v>Match</v>
      </c>
      <c r="AG891" t="str">
        <f t="shared" si="139"/>
        <v>Match</v>
      </c>
    </row>
    <row r="892" spans="1:33">
      <c r="A892" t="s">
        <v>2731</v>
      </c>
      <c r="B892" s="3">
        <v>45427</v>
      </c>
      <c r="C892" s="3">
        <v>45433</v>
      </c>
      <c r="D892">
        <f t="shared" si="130"/>
        <v>6</v>
      </c>
      <c r="E892" t="s">
        <v>2732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2733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>
        <v>1</v>
      </c>
      <c r="X892" t="s">
        <v>2765</v>
      </c>
      <c r="Y892">
        <f t="shared" si="131"/>
        <v>0.2</v>
      </c>
      <c r="Z892">
        <f t="shared" si="132"/>
        <v>13965.888000000001</v>
      </c>
      <c r="AA892">
        <f t="shared" si="133"/>
        <v>2319.768</v>
      </c>
      <c r="AB892" s="7">
        <f t="shared" si="134"/>
        <v>0.16610243473239938</v>
      </c>
      <c r="AC892" t="str">
        <f t="shared" si="135"/>
        <v>May</v>
      </c>
      <c r="AD892">
        <f t="shared" si="136"/>
        <v>2024</v>
      </c>
      <c r="AE892" t="str">
        <f t="shared" si="137"/>
        <v>Clean</v>
      </c>
      <c r="AF892" t="str">
        <f t="shared" si="138"/>
        <v>Match</v>
      </c>
      <c r="AG892" t="str">
        <f t="shared" si="139"/>
        <v>Match</v>
      </c>
    </row>
    <row r="893" spans="1:33">
      <c r="A893" t="s">
        <v>2734</v>
      </c>
      <c r="B893" s="3">
        <v>45573</v>
      </c>
      <c r="C893" s="3">
        <v>45574</v>
      </c>
      <c r="D893">
        <f t="shared" si="130"/>
        <v>1</v>
      </c>
      <c r="E893" t="s">
        <v>2735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2736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>
        <v>1</v>
      </c>
      <c r="X893" t="s">
        <v>2765</v>
      </c>
      <c r="Y893">
        <f t="shared" si="131"/>
        <v>0.1</v>
      </c>
      <c r="Z893">
        <f t="shared" si="132"/>
        <v>10835.865</v>
      </c>
      <c r="AA893">
        <f t="shared" si="133"/>
        <v>4415.9449999999997</v>
      </c>
      <c r="AB893" s="7">
        <f t="shared" si="134"/>
        <v>0.40753045557507406</v>
      </c>
      <c r="AC893" t="str">
        <f t="shared" si="135"/>
        <v>October</v>
      </c>
      <c r="AD893">
        <f t="shared" si="136"/>
        <v>2024</v>
      </c>
      <c r="AE893" t="str">
        <f t="shared" si="137"/>
        <v>Clean</v>
      </c>
      <c r="AF893" t="str">
        <f t="shared" si="138"/>
        <v>Match</v>
      </c>
      <c r="AG893" t="str">
        <f t="shared" si="139"/>
        <v>Match</v>
      </c>
    </row>
    <row r="894" spans="1:33">
      <c r="A894" t="s">
        <v>2737</v>
      </c>
      <c r="B894" s="3">
        <v>45759</v>
      </c>
      <c r="C894" s="3">
        <v>45765</v>
      </c>
      <c r="D894">
        <f t="shared" si="130"/>
        <v>6</v>
      </c>
      <c r="E894" t="s">
        <v>2738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2739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>
        <v>1</v>
      </c>
      <c r="X894" t="s">
        <v>2765</v>
      </c>
      <c r="Y894">
        <f t="shared" si="131"/>
        <v>0.2</v>
      </c>
      <c r="Z894">
        <f t="shared" si="132"/>
        <v>581.51200000000006</v>
      </c>
      <c r="AA894">
        <f t="shared" si="133"/>
        <v>157.65200000000004</v>
      </c>
      <c r="AB894" s="7">
        <f t="shared" si="134"/>
        <v>0.27110704508247468</v>
      </c>
      <c r="AC894" t="str">
        <f t="shared" si="135"/>
        <v>April</v>
      </c>
      <c r="AD894">
        <f t="shared" si="136"/>
        <v>2025</v>
      </c>
      <c r="AE894" t="str">
        <f t="shared" si="137"/>
        <v>Clean</v>
      </c>
      <c r="AF894" t="str">
        <f t="shared" si="138"/>
        <v>Match</v>
      </c>
      <c r="AG894" t="str">
        <f t="shared" si="139"/>
        <v>Match</v>
      </c>
    </row>
    <row r="895" spans="1:33">
      <c r="A895" t="s">
        <v>2740</v>
      </c>
      <c r="B895" s="3">
        <v>45449</v>
      </c>
      <c r="C895" s="3">
        <v>45451</v>
      </c>
      <c r="D895">
        <f t="shared" si="130"/>
        <v>2</v>
      </c>
      <c r="E895" t="s">
        <v>2741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2742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>
        <v>1</v>
      </c>
      <c r="X895" t="s">
        <v>2765</v>
      </c>
      <c r="Y895">
        <f t="shared" si="131"/>
        <v>0.05</v>
      </c>
      <c r="Z895">
        <f t="shared" si="132"/>
        <v>1127.1465000000001</v>
      </c>
      <c r="AA895">
        <f t="shared" si="133"/>
        <v>281.52650000000006</v>
      </c>
      <c r="AB895" s="7">
        <f t="shared" si="134"/>
        <v>0.24976921810962466</v>
      </c>
      <c r="AC895" t="str">
        <f t="shared" si="135"/>
        <v>June</v>
      </c>
      <c r="AD895">
        <f t="shared" si="136"/>
        <v>2024</v>
      </c>
      <c r="AE895" t="str">
        <f t="shared" si="137"/>
        <v>Clean</v>
      </c>
      <c r="AF895" t="str">
        <f t="shared" si="138"/>
        <v>Match</v>
      </c>
      <c r="AG895" t="str">
        <f t="shared" si="139"/>
        <v>Match</v>
      </c>
    </row>
    <row r="896" spans="1:33">
      <c r="A896" t="s">
        <v>2743</v>
      </c>
      <c r="B896" s="3">
        <v>45344</v>
      </c>
      <c r="C896" s="3">
        <v>45351</v>
      </c>
      <c r="D896">
        <f t="shared" si="130"/>
        <v>7</v>
      </c>
      <c r="E896" t="s">
        <v>2744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2745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>
        <v>1</v>
      </c>
      <c r="X896" t="s">
        <v>2765</v>
      </c>
      <c r="Y896">
        <f t="shared" si="131"/>
        <v>0</v>
      </c>
      <c r="Z896">
        <f t="shared" si="132"/>
        <v>25524.300000000003</v>
      </c>
      <c r="AA896">
        <f t="shared" si="133"/>
        <v>8812.3700000000026</v>
      </c>
      <c r="AB896" s="7">
        <f t="shared" si="134"/>
        <v>0.34525413037771857</v>
      </c>
      <c r="AC896" t="str">
        <f t="shared" si="135"/>
        <v>February</v>
      </c>
      <c r="AD896">
        <f t="shared" si="136"/>
        <v>2024</v>
      </c>
      <c r="AE896" t="str">
        <f t="shared" si="137"/>
        <v>Clean</v>
      </c>
      <c r="AF896" t="str">
        <f t="shared" si="138"/>
        <v>Match</v>
      </c>
      <c r="AG896" t="str">
        <f t="shared" si="139"/>
        <v>Match</v>
      </c>
    </row>
    <row r="897" spans="1:33">
      <c r="A897" t="s">
        <v>2746</v>
      </c>
      <c r="B897" s="3">
        <v>45601</v>
      </c>
      <c r="C897" s="3">
        <v>45606</v>
      </c>
      <c r="D897">
        <f t="shared" si="130"/>
        <v>5</v>
      </c>
      <c r="E897" t="s">
        <v>2747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2748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>
        <v>1</v>
      </c>
      <c r="X897" t="s">
        <v>2765</v>
      </c>
      <c r="Y897">
        <f t="shared" si="131"/>
        <v>0.15</v>
      </c>
      <c r="Z897">
        <f t="shared" si="132"/>
        <v>2418.0119999999997</v>
      </c>
      <c r="AA897">
        <f t="shared" si="133"/>
        <v>976.12199999999962</v>
      </c>
      <c r="AB897" s="7">
        <f t="shared" si="134"/>
        <v>0.40368782288921634</v>
      </c>
      <c r="AC897" t="str">
        <f t="shared" si="135"/>
        <v>November</v>
      </c>
      <c r="AD897">
        <f t="shared" si="136"/>
        <v>2024</v>
      </c>
      <c r="AE897" t="str">
        <f t="shared" si="137"/>
        <v>Clean</v>
      </c>
      <c r="AF897" t="str">
        <f t="shared" si="138"/>
        <v>Match</v>
      </c>
      <c r="AG897" t="str">
        <f t="shared" si="139"/>
        <v>Match</v>
      </c>
    </row>
    <row r="898" spans="1:33">
      <c r="A898" t="s">
        <v>2749</v>
      </c>
      <c r="B898" s="3">
        <v>45650</v>
      </c>
      <c r="C898" s="3">
        <v>45651</v>
      </c>
      <c r="D898">
        <f t="shared" ref="D898:D913" si="140">C898-B898</f>
        <v>1</v>
      </c>
      <c r="E898" t="s">
        <v>2750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2751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>
        <v>1</v>
      </c>
      <c r="X898" t="s">
        <v>2765</v>
      </c>
      <c r="Y898">
        <f t="shared" si="131"/>
        <v>0.05</v>
      </c>
      <c r="Z898">
        <f t="shared" si="132"/>
        <v>3508.3784999999998</v>
      </c>
      <c r="AA898">
        <f t="shared" si="133"/>
        <v>680.31849999999986</v>
      </c>
      <c r="AB898" s="7">
        <f t="shared" si="134"/>
        <v>0.19391251542557336</v>
      </c>
      <c r="AC898" t="str">
        <f t="shared" si="135"/>
        <v>December</v>
      </c>
      <c r="AD898">
        <f t="shared" si="136"/>
        <v>2024</v>
      </c>
      <c r="AE898" t="str">
        <f t="shared" si="137"/>
        <v>Clean</v>
      </c>
      <c r="AF898" t="str">
        <f t="shared" si="138"/>
        <v>Match</v>
      </c>
      <c r="AG898" t="str">
        <f t="shared" si="139"/>
        <v>Match</v>
      </c>
    </row>
    <row r="899" spans="1:33">
      <c r="A899" t="s">
        <v>2752</v>
      </c>
      <c r="B899" s="3">
        <v>45776</v>
      </c>
      <c r="C899" s="3">
        <v>45780</v>
      </c>
      <c r="D899">
        <f t="shared" si="140"/>
        <v>4</v>
      </c>
      <c r="E899" t="s">
        <v>2119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2753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>
        <v>1</v>
      </c>
      <c r="X899" t="s">
        <v>2765</v>
      </c>
      <c r="Y899">
        <f t="shared" ref="Y899:Y913" si="141">IF(
Q899="",
0,
IF(Q899&gt;1,
Q899/100,
Q899)
)</f>
        <v>0.05</v>
      </c>
      <c r="Z899">
        <f t="shared" ref="Z899:Z913" si="142">O899*P899*(1-Y899)</f>
        <v>6789.27</v>
      </c>
      <c r="AA899">
        <f t="shared" ref="AA899:AA913" si="143">Z899-S899</f>
        <v>1162.8400000000001</v>
      </c>
      <c r="AB899" s="7">
        <f t="shared" ref="AB899:AB913" si="144">IF(Z899=0,0,
AA899/Z899)</f>
        <v>0.17127614603631908</v>
      </c>
      <c r="AC899" t="str">
        <f t="shared" ref="AC899:AC913" si="145">TEXT(B899,"mmmm")</f>
        <v>April</v>
      </c>
      <c r="AD899">
        <f t="shared" ref="AD899:AD913" si="146">YEAR(B899)</f>
        <v>2025</v>
      </c>
      <c r="AE899" t="str">
        <f t="shared" ref="AE899:AE913" si="147">IF(
OR(
Y899&lt;0,
D899&lt;0
),
"Invalid",
IF(
X899="Review Required",
"Warning",
"Clean"
)
)</f>
        <v>Clean</v>
      </c>
      <c r="AF899" t="str">
        <f t="shared" ref="AF899:AF913" si="148">IF(ABS(R899-Z899)&gt;0.01,
"Mismatch",
"Match")</f>
        <v>Match</v>
      </c>
      <c r="AG899" t="str">
        <f t="shared" ref="AG899:AG913" si="149">IF(ABS(T899-AA899)&gt;0.01,
"Mismatch",
"Match")</f>
        <v>Match</v>
      </c>
    </row>
    <row r="900" spans="1:33">
      <c r="A900" t="s">
        <v>2754</v>
      </c>
      <c r="B900" s="3">
        <v>45445</v>
      </c>
      <c r="C900" s="3">
        <v>45451</v>
      </c>
      <c r="D900">
        <f t="shared" si="140"/>
        <v>6</v>
      </c>
      <c r="E900" t="s">
        <v>2755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2756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>
        <v>1</v>
      </c>
      <c r="X900" t="s">
        <v>2765</v>
      </c>
      <c r="Y900">
        <f t="shared" si="141"/>
        <v>0.2</v>
      </c>
      <c r="Z900">
        <f t="shared" si="142"/>
        <v>4917.4400000000005</v>
      </c>
      <c r="AA900">
        <f t="shared" si="143"/>
        <v>1070.6700000000005</v>
      </c>
      <c r="AB900" s="7">
        <f t="shared" si="144"/>
        <v>0.21772914361944434</v>
      </c>
      <c r="AC900" t="str">
        <f t="shared" si="145"/>
        <v>June</v>
      </c>
      <c r="AD900">
        <f t="shared" si="146"/>
        <v>2024</v>
      </c>
      <c r="AE900" t="str">
        <f t="shared" si="147"/>
        <v>Clean</v>
      </c>
      <c r="AF900" t="str">
        <f t="shared" si="148"/>
        <v>Match</v>
      </c>
      <c r="AG900" t="str">
        <f t="shared" si="149"/>
        <v>Match</v>
      </c>
    </row>
    <row r="901" spans="1:33">
      <c r="A901" t="s">
        <v>2757</v>
      </c>
      <c r="B901" s="3">
        <v>45804</v>
      </c>
      <c r="C901" s="3">
        <v>45811</v>
      </c>
      <c r="D901">
        <f t="shared" si="140"/>
        <v>7</v>
      </c>
      <c r="E901" t="s">
        <v>2758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2759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>
        <v>1</v>
      </c>
      <c r="X901" t="s">
        <v>2765</v>
      </c>
      <c r="Y901">
        <f t="shared" si="141"/>
        <v>0.25</v>
      </c>
      <c r="Z901">
        <f t="shared" si="142"/>
        <v>3304.05</v>
      </c>
      <c r="AA901">
        <f t="shared" si="143"/>
        <v>1024.6400000000003</v>
      </c>
      <c r="AB901" s="7">
        <f t="shared" si="144"/>
        <v>0.31011637233092726</v>
      </c>
      <c r="AC901" t="str">
        <f t="shared" si="145"/>
        <v>May</v>
      </c>
      <c r="AD901">
        <f t="shared" si="146"/>
        <v>2025</v>
      </c>
      <c r="AE901" t="str">
        <f t="shared" si="147"/>
        <v>Clean</v>
      </c>
      <c r="AF901" t="str">
        <f t="shared" si="148"/>
        <v>Match</v>
      </c>
      <c r="AG901" t="str">
        <f t="shared" si="149"/>
        <v>Match</v>
      </c>
    </row>
    <row r="902" spans="1:33">
      <c r="A902" t="s">
        <v>1096</v>
      </c>
      <c r="B902" s="3">
        <v>45630</v>
      </c>
      <c r="C902" s="3">
        <v>45632</v>
      </c>
      <c r="D902">
        <f t="shared" si="140"/>
        <v>2</v>
      </c>
      <c r="E902" t="s">
        <v>1097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1098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>
        <v>2</v>
      </c>
      <c r="X902" t="s">
        <v>2764</v>
      </c>
      <c r="Y902">
        <f t="shared" si="141"/>
        <v>0</v>
      </c>
      <c r="Z902">
        <f t="shared" si="142"/>
        <v>10742.64</v>
      </c>
      <c r="AA902">
        <f t="shared" si="143"/>
        <v>4265.2699999999995</v>
      </c>
      <c r="AB902" s="7">
        <f t="shared" si="144"/>
        <v>0.39704113700170535</v>
      </c>
      <c r="AC902" t="str">
        <f t="shared" si="145"/>
        <v>December</v>
      </c>
      <c r="AD902">
        <f t="shared" si="146"/>
        <v>2024</v>
      </c>
      <c r="AE902" t="str">
        <f t="shared" si="147"/>
        <v>Warning</v>
      </c>
      <c r="AF902" t="str">
        <f t="shared" si="148"/>
        <v>Mismatch</v>
      </c>
      <c r="AG902" t="str">
        <f t="shared" si="149"/>
        <v>Match</v>
      </c>
    </row>
    <row r="903" spans="1:33">
      <c r="A903" t="s">
        <v>380</v>
      </c>
      <c r="B903" s="3">
        <v>45893</v>
      </c>
      <c r="C903" s="3">
        <v>45898</v>
      </c>
      <c r="D903">
        <f t="shared" si="140"/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>
        <v>2</v>
      </c>
      <c r="X903" t="s">
        <v>2764</v>
      </c>
      <c r="Y903">
        <f t="shared" si="141"/>
        <v>0.15</v>
      </c>
      <c r="Z903">
        <f t="shared" si="142"/>
        <v>9445.098</v>
      </c>
      <c r="AA903">
        <f t="shared" si="143"/>
        <v>3858.8180000000002</v>
      </c>
      <c r="AB903" s="7">
        <f t="shared" si="144"/>
        <v>0.40855245758170006</v>
      </c>
      <c r="AC903" t="str">
        <f t="shared" si="145"/>
        <v>August</v>
      </c>
      <c r="AD903">
        <f t="shared" si="146"/>
        <v>2025</v>
      </c>
      <c r="AE903" t="str">
        <f t="shared" si="147"/>
        <v>Warning</v>
      </c>
      <c r="AF903" t="str">
        <f t="shared" si="148"/>
        <v>Mismatch</v>
      </c>
      <c r="AG903" t="str">
        <f t="shared" si="149"/>
        <v>Match</v>
      </c>
    </row>
    <row r="904" spans="1:33">
      <c r="A904" t="s">
        <v>1220</v>
      </c>
      <c r="B904" s="3">
        <v>45760</v>
      </c>
      <c r="C904" s="3">
        <v>45760</v>
      </c>
      <c r="D904">
        <f t="shared" si="140"/>
        <v>0</v>
      </c>
      <c r="E904" t="s">
        <v>1221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1222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>
        <v>2</v>
      </c>
      <c r="X904" t="s">
        <v>2764</v>
      </c>
      <c r="Y904">
        <f t="shared" si="141"/>
        <v>0</v>
      </c>
      <c r="Z904">
        <f t="shared" si="142"/>
        <v>10068.120000000001</v>
      </c>
      <c r="AA904">
        <f t="shared" si="143"/>
        <v>1472.75</v>
      </c>
      <c r="AB904" s="7">
        <f t="shared" si="144"/>
        <v>0.14627855051389932</v>
      </c>
      <c r="AC904" t="str">
        <f t="shared" si="145"/>
        <v>April</v>
      </c>
      <c r="AD904">
        <f t="shared" si="146"/>
        <v>2025</v>
      </c>
      <c r="AE904" t="str">
        <f t="shared" si="147"/>
        <v>Warning</v>
      </c>
      <c r="AF904" t="str">
        <f t="shared" si="148"/>
        <v>Mismatch</v>
      </c>
      <c r="AG904" t="str">
        <f t="shared" si="149"/>
        <v>Match</v>
      </c>
    </row>
    <row r="905" spans="1:33">
      <c r="A905" t="s">
        <v>778</v>
      </c>
      <c r="B905" s="3">
        <v>45932</v>
      </c>
      <c r="C905" s="3">
        <v>45938</v>
      </c>
      <c r="D905">
        <f t="shared" si="140"/>
        <v>6</v>
      </c>
      <c r="E905" t="s">
        <v>779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780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>
        <v>2</v>
      </c>
      <c r="X905" t="s">
        <v>2764</v>
      </c>
      <c r="Y905">
        <f t="shared" si="141"/>
        <v>0.25</v>
      </c>
      <c r="Z905">
        <f t="shared" si="142"/>
        <v>11833.92</v>
      </c>
      <c r="AA905">
        <f t="shared" si="143"/>
        <v>5151</v>
      </c>
      <c r="AB905" s="7">
        <f t="shared" si="144"/>
        <v>0.43527419485681834</v>
      </c>
      <c r="AC905" t="str">
        <f t="shared" si="145"/>
        <v>October</v>
      </c>
      <c r="AD905">
        <f t="shared" si="146"/>
        <v>2025</v>
      </c>
      <c r="AE905" t="str">
        <f t="shared" si="147"/>
        <v>Warning</v>
      </c>
      <c r="AF905" t="str">
        <f t="shared" si="148"/>
        <v>Mismatch</v>
      </c>
      <c r="AG905" t="str">
        <f t="shared" si="149"/>
        <v>Match</v>
      </c>
    </row>
    <row r="906" spans="1:33">
      <c r="A906" t="s">
        <v>1046</v>
      </c>
      <c r="B906" s="3">
        <v>45795</v>
      </c>
      <c r="C906" s="3">
        <v>45797</v>
      </c>
      <c r="D906">
        <f t="shared" si="140"/>
        <v>2</v>
      </c>
      <c r="E906" t="s">
        <v>1047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1048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>
        <v>2</v>
      </c>
      <c r="X906" t="s">
        <v>2764</v>
      </c>
      <c r="Y906">
        <f t="shared" si="141"/>
        <v>0.15</v>
      </c>
      <c r="Z906">
        <f t="shared" si="142"/>
        <v>6485.3639999999996</v>
      </c>
      <c r="AA906">
        <f t="shared" si="143"/>
        <v>1109.1939999999995</v>
      </c>
      <c r="AB906" s="7">
        <f t="shared" si="144"/>
        <v>0.17103033846673826</v>
      </c>
      <c r="AC906" t="str">
        <f t="shared" si="145"/>
        <v>May</v>
      </c>
      <c r="AD906">
        <f t="shared" si="146"/>
        <v>2025</v>
      </c>
      <c r="AE906" t="str">
        <f t="shared" si="147"/>
        <v>Warning</v>
      </c>
      <c r="AF906" t="str">
        <f t="shared" si="148"/>
        <v>Mismatch</v>
      </c>
      <c r="AG906" t="str">
        <f t="shared" si="149"/>
        <v>Match</v>
      </c>
    </row>
    <row r="907" spans="1:33">
      <c r="A907" t="s">
        <v>618</v>
      </c>
      <c r="B907" s="3">
        <v>45907</v>
      </c>
      <c r="C907" s="3">
        <v>45915</v>
      </c>
      <c r="D907">
        <f t="shared" si="140"/>
        <v>8</v>
      </c>
      <c r="E907" t="s">
        <v>619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620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>
        <v>2</v>
      </c>
      <c r="X907" t="s">
        <v>2764</v>
      </c>
      <c r="Y907">
        <f t="shared" si="141"/>
        <v>0</v>
      </c>
      <c r="Z907">
        <f t="shared" si="142"/>
        <v>5133.96</v>
      </c>
      <c r="AA907">
        <f t="shared" si="143"/>
        <v>1203.96</v>
      </c>
      <c r="AB907" s="7">
        <f t="shared" si="144"/>
        <v>0.23450903396208775</v>
      </c>
      <c r="AC907" t="str">
        <f t="shared" si="145"/>
        <v>September</v>
      </c>
      <c r="AD907">
        <f t="shared" si="146"/>
        <v>2025</v>
      </c>
      <c r="AE907" t="str">
        <f t="shared" si="147"/>
        <v>Warning</v>
      </c>
      <c r="AF907" t="str">
        <f t="shared" si="148"/>
        <v>Mismatch</v>
      </c>
      <c r="AG907" t="str">
        <f t="shared" si="149"/>
        <v>Match</v>
      </c>
    </row>
    <row r="908" spans="1:33">
      <c r="A908" t="s">
        <v>1369</v>
      </c>
      <c r="B908" s="3">
        <v>45342</v>
      </c>
      <c r="C908" s="3">
        <v>45349</v>
      </c>
      <c r="D908">
        <f t="shared" si="140"/>
        <v>7</v>
      </c>
      <c r="E908" t="s">
        <v>1370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1371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>
        <v>2</v>
      </c>
      <c r="X908" t="s">
        <v>2764</v>
      </c>
      <c r="Y908">
        <f t="shared" si="141"/>
        <v>0.2</v>
      </c>
      <c r="Z908">
        <f t="shared" si="142"/>
        <v>27211.032000000003</v>
      </c>
      <c r="AA908">
        <f t="shared" si="143"/>
        <v>9270.6020000000026</v>
      </c>
      <c r="AB908" s="7">
        <f t="shared" si="144"/>
        <v>0.34069277490100347</v>
      </c>
      <c r="AC908" t="str">
        <f t="shared" si="145"/>
        <v>February</v>
      </c>
      <c r="AD908">
        <f t="shared" si="146"/>
        <v>2024</v>
      </c>
      <c r="AE908" t="str">
        <f t="shared" si="147"/>
        <v>Warning</v>
      </c>
      <c r="AF908" t="str">
        <f t="shared" si="148"/>
        <v>Mismatch</v>
      </c>
      <c r="AG908" t="str">
        <f t="shared" si="149"/>
        <v>Match</v>
      </c>
    </row>
    <row r="909" spans="1:33">
      <c r="A909" t="s">
        <v>1807</v>
      </c>
      <c r="B909" s="3">
        <v>45698</v>
      </c>
      <c r="C909" s="3">
        <v>45702</v>
      </c>
      <c r="D909">
        <f t="shared" si="140"/>
        <v>4</v>
      </c>
      <c r="E909" t="s">
        <v>1808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1809</v>
      </c>
      <c r="N909" t="s">
        <v>2760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>
        <v>2</v>
      </c>
      <c r="X909" t="s">
        <v>2764</v>
      </c>
      <c r="Y909">
        <f t="shared" si="141"/>
        <v>0</v>
      </c>
      <c r="Z909">
        <f t="shared" si="142"/>
        <v>21381.45</v>
      </c>
      <c r="AA909">
        <f t="shared" si="143"/>
        <v>8141.2400000000016</v>
      </c>
      <c r="AB909" s="7">
        <f t="shared" si="144"/>
        <v>0.38076182859441249</v>
      </c>
      <c r="AC909" t="str">
        <f t="shared" si="145"/>
        <v>February</v>
      </c>
      <c r="AD909">
        <f t="shared" si="146"/>
        <v>2025</v>
      </c>
      <c r="AE909" t="str">
        <f t="shared" si="147"/>
        <v>Warning</v>
      </c>
      <c r="AF909" t="str">
        <f t="shared" si="148"/>
        <v>Mismatch</v>
      </c>
      <c r="AG909" t="str">
        <f t="shared" si="149"/>
        <v>Match</v>
      </c>
    </row>
    <row r="910" spans="1:33">
      <c r="A910" t="s">
        <v>535</v>
      </c>
      <c r="B910" s="3">
        <v>45381</v>
      </c>
      <c r="C910" s="3">
        <v>45377</v>
      </c>
      <c r="D910">
        <f t="shared" si="140"/>
        <v>-4</v>
      </c>
      <c r="E910" t="s">
        <v>536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537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>
        <v>2</v>
      </c>
      <c r="X910" t="s">
        <v>2764</v>
      </c>
      <c r="Y910">
        <f t="shared" si="141"/>
        <v>0.15</v>
      </c>
      <c r="Z910">
        <f t="shared" si="142"/>
        <v>3857.0449999999996</v>
      </c>
      <c r="AA910">
        <f t="shared" si="143"/>
        <v>1087.7849999999994</v>
      </c>
      <c r="AB910" s="7">
        <f t="shared" si="144"/>
        <v>0.28202548842442843</v>
      </c>
      <c r="AC910" t="str">
        <f t="shared" si="145"/>
        <v>March</v>
      </c>
      <c r="AD910">
        <f t="shared" si="146"/>
        <v>2024</v>
      </c>
      <c r="AE910" t="str">
        <f t="shared" si="147"/>
        <v>Invalid</v>
      </c>
      <c r="AF910" t="str">
        <f t="shared" si="148"/>
        <v>Mismatch</v>
      </c>
      <c r="AG910" t="str">
        <f t="shared" si="149"/>
        <v>Match</v>
      </c>
    </row>
    <row r="911" spans="1:33">
      <c r="A911" t="s">
        <v>921</v>
      </c>
      <c r="B911" s="3">
        <v>45522</v>
      </c>
      <c r="C911" s="3">
        <v>45528</v>
      </c>
      <c r="D911">
        <f t="shared" si="140"/>
        <v>6</v>
      </c>
      <c r="E911" t="s">
        <v>922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923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>
        <v>2</v>
      </c>
      <c r="X911" t="s">
        <v>2764</v>
      </c>
      <c r="Y911">
        <f t="shared" si="141"/>
        <v>0.1</v>
      </c>
      <c r="Z911">
        <f t="shared" si="142"/>
        <v>3510.4230000000002</v>
      </c>
      <c r="AA911">
        <f t="shared" si="143"/>
        <v>1318.9230000000002</v>
      </c>
      <c r="AB911" s="7">
        <f t="shared" si="144"/>
        <v>0.37571625983535323</v>
      </c>
      <c r="AC911" t="str">
        <f t="shared" si="145"/>
        <v>August</v>
      </c>
      <c r="AD911">
        <f t="shared" si="146"/>
        <v>2024</v>
      </c>
      <c r="AE911" t="str">
        <f t="shared" si="147"/>
        <v>Warning</v>
      </c>
      <c r="AF911" t="str">
        <f t="shared" si="148"/>
        <v>Mismatch</v>
      </c>
      <c r="AG911" t="str">
        <f t="shared" si="149"/>
        <v>Mismatch</v>
      </c>
    </row>
    <row r="912" spans="1:33">
      <c r="A912" t="s">
        <v>478</v>
      </c>
      <c r="B912" s="3">
        <v>45436</v>
      </c>
      <c r="C912" s="3">
        <v>45437</v>
      </c>
      <c r="D912">
        <f t="shared" si="140"/>
        <v>1</v>
      </c>
      <c r="E912" t="s">
        <v>479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480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>
        <v>2</v>
      </c>
      <c r="X912" t="s">
        <v>2764</v>
      </c>
      <c r="Y912">
        <f t="shared" si="141"/>
        <v>0</v>
      </c>
      <c r="Z912">
        <f t="shared" si="142"/>
        <v>634.13</v>
      </c>
      <c r="AA912">
        <f t="shared" si="143"/>
        <v>180.77999999999997</v>
      </c>
      <c r="AB912" s="7">
        <f t="shared" si="144"/>
        <v>0.28508350022865969</v>
      </c>
      <c r="AC912" t="str">
        <f t="shared" si="145"/>
        <v>May</v>
      </c>
      <c r="AD912">
        <f t="shared" si="146"/>
        <v>2024</v>
      </c>
      <c r="AE912" t="str">
        <f t="shared" si="147"/>
        <v>Warning</v>
      </c>
      <c r="AF912" t="str">
        <f t="shared" si="148"/>
        <v>Mismatch</v>
      </c>
      <c r="AG912" t="str">
        <f t="shared" si="149"/>
        <v>Match</v>
      </c>
    </row>
    <row r="913" spans="1:33">
      <c r="A913" t="s">
        <v>1108</v>
      </c>
      <c r="B913" s="3">
        <v>45824</v>
      </c>
      <c r="C913" s="3">
        <v>45826</v>
      </c>
      <c r="D913">
        <f t="shared" si="140"/>
        <v>2</v>
      </c>
      <c r="E913" t="s">
        <v>1109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1110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>
        <v>2</v>
      </c>
      <c r="X913" t="s">
        <v>2764</v>
      </c>
      <c r="Y913">
        <f t="shared" si="141"/>
        <v>0.1</v>
      </c>
      <c r="Z913">
        <f t="shared" si="142"/>
        <v>11581.299000000001</v>
      </c>
      <c r="AA913">
        <f t="shared" si="143"/>
        <v>4751.8690000000006</v>
      </c>
      <c r="AB913" s="7">
        <f t="shared" si="144"/>
        <v>0.41030535521101735</v>
      </c>
      <c r="AC913" t="str">
        <f t="shared" si="145"/>
        <v>June</v>
      </c>
      <c r="AD913">
        <f t="shared" si="146"/>
        <v>2025</v>
      </c>
      <c r="AE913" t="str">
        <f t="shared" si="147"/>
        <v>Warning</v>
      </c>
      <c r="AF913" t="str">
        <f t="shared" si="148"/>
        <v>Mismatch</v>
      </c>
      <c r="AG913" t="str">
        <f t="shared" si="149"/>
        <v>Match</v>
      </c>
    </row>
    <row r="914" spans="1:33">
      <c r="A914"/>
      <c r="B914" s="3"/>
      <c r="C914"/>
      <c r="D914"/>
      <c r="E914"/>
      <c r="F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</sheetData>
  <conditionalFormatting sqref="D1:D1048576">
    <cfRule type="cellIs" dxfId="11" priority="6" operator="lessThan">
      <formula>0</formula>
    </cfRule>
  </conditionalFormatting>
  <conditionalFormatting sqref="X1:X1048576">
    <cfRule type="containsText" dxfId="10" priority="5" operator="containsText" text="Review Required">
      <formula>NOT(ISERROR(SEARCH("Review Required",X1)))</formula>
    </cfRule>
  </conditionalFormatting>
  <conditionalFormatting sqref="Y1:AG1">
    <cfRule type="containsText" dxfId="9" priority="4" operator="containsText" text="Review Required">
      <formula>NOT(ISERROR(SEARCH("Review Required",Y1)))</formula>
    </cfRule>
  </conditionalFormatting>
  <conditionalFormatting sqref="AF1:AG1 AE1:AE1048576">
    <cfRule type="containsText" dxfId="8" priority="1" operator="containsText" text="Warning">
      <formula>NOT(ISERROR(SEARCH("Warning",AE1)))</formula>
    </cfRule>
    <cfRule type="containsText" dxfId="7" priority="2" operator="containsText" text="Invalid">
      <formula>NOT(ISERROR(SEARCH("Invalid",AE1)))</formula>
    </cfRule>
    <cfRule type="containsText" dxfId="6" priority="3" operator="containsText" text="Clean">
      <formula>NOT(ISERROR(SEARCH("Clean",AE1)))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Sales_Profit_by_Category_SubCat</vt:lpstr>
      <vt:lpstr>Sales_Profit_By_Region</vt:lpstr>
      <vt:lpstr>Order Count by Ship Mode</vt:lpstr>
      <vt:lpstr>Profit margin by customer segme</vt:lpstr>
      <vt:lpstr>Refunded cancelled failed order</vt:lpstr>
      <vt:lpstr>Monthly sales trend</vt:lpstr>
      <vt:lpstr>raw_orders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Das, Ananya (IND)</cp:lastModifiedBy>
  <dcterms:modified xsi:type="dcterms:W3CDTF">2026-06-19T17:59:25Z</dcterms:modified>
</cp:coreProperties>
</file>